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2BE9B761-2B41-F642-9077-0513480C27A5}" xr6:coauthVersionLast="47" xr6:coauthVersionMax="47" xr10:uidLastSave="{00000000-0000-0000-0000-000000000000}"/>
  <bookViews>
    <workbookView xWindow="2200" yWindow="3000" windowWidth="3426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Requirements!$A$1:$T$312</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3" i="5" l="1"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<sst xmlns="http://schemas.openxmlformats.org/spreadsheetml/2006/main" count="1521" uniqueCount="489">
  <si>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</si>
  <si>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</si>
  <si>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</si>
  <si>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</si>
  <si>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</si>
  <si>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</si>
  <si>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</si>
  <si>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</si>
  <si>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</si>
  <si>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</si>
  <si>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</si>
  <si>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</si>
  <si>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</si>
  <si>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</si>
  <si>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</si>
  <si>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</si>
  <si>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</si>
  <si>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</si>
  <si>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</si>
  <si>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</si>
  <si>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</si>
  <si>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</si>
  <si>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</si>
  <si>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</si>
  <si>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</si>
  <si>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</si>
  <si>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</si>
  <si>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</si>
  <si>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</si>
  <si>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</si>
  <si>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</si>
  <si>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</si>
  <si>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</si>
  <si>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</si>
  <si>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</si>
  <si>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</si>
  <si>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</si>
  <si>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</si>
  <si>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</si>
  <si>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</si>
  <si>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</si>
  <si>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</si>
  <si>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</si>
  <si>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</si>
  <si>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</si>
  <si>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</si>
  <si>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</si>
  <si>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</si>
  <si>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</si>
  <si>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</si>
  <si>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</si>
  <si>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</si>
  <si>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</si>
  <si>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</si>
  <si>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</si>
  <si>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</si>
  <si>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</si>
  <si>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</si>
  <si>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</si>
  <si>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</si>
  <si>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</si>
  <si>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</si>
  <si>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</si>
  <si>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</si>
  <si>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</si>
  <si>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</si>
  <si>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</si>
  <si>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</si>
  <si>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</si>
  <si>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</si>
  <si>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</si>
  <si>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</si>
  <si>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</si>
  <si>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</si>
  <si>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</si>
  <si>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</si>
  <si>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</si>
  <si>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</si>
  <si>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</si>
  <si>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</si>
  <si>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</si>
  <si>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</si>
  <si>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</si>
  <si>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</si>
  <si>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</si>
  <si>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</si>
  <si>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</si>
  <si>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</si>
  <si>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</si>
  <si>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</si>
  <si>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</si>
  <si>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</si>
  <si>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</si>
  <si>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</si>
  <si>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</si>
  <si>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</si>
  <si>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</si>
  <si>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</si>
  <si>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</si>
  <si>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</si>
  <si>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</si>
  <si>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</si>
  <si>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</si>
  <si>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</si>
  <si>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</si>
  <si>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</si>
  <si>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</si>
  <si>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</si>
  <si>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</si>
  <si>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</si>
  <si>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</si>
  <si>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</si>
  <si>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</si>
  <si>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</si>
  <si>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</si>
  <si>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</si>
  <si>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</si>
  <si>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</si>
  <si>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</si>
  <si>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</si>
  <si>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</si>
  <si>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</si>
  <si>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</si>
  <si>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</si>
  <si>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</si>
  <si>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</si>
  <si>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</si>
  <si>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</si>
  <si>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</si>
  <si>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</si>
  <si>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</si>
  <si>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</si>
  <si>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</si>
  <si>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</si>
  <si>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</si>
  <si>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</si>
  <si>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</si>
  <si>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</si>
  <si>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</si>
  <si>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</si>
  <si>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</si>
  <si>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</si>
  <si>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</si>
  <si>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</si>
  <si>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</si>
  <si>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</si>
  <si>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</si>
  <si>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</si>
  <si>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</si>
  <si>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</si>
  <si>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</si>
  <si>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</si>
  <si>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</si>
  <si>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</si>
  <si>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</si>
  <si>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</si>
  <si>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</si>
  <si>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</si>
  <si>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</si>
  <si>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</si>
  <si>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</si>
  <si>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</si>
  <si>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</si>
  <si>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</si>
  <si>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</si>
  <si>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</si>
  <si>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</si>
  <si>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</si>
  <si>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</si>
  <si>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</si>
  <si>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</si>
  <si>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</si>
  <si>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</si>
  <si>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</si>
  <si>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</si>
  <si>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</si>
  <si>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</si>
  <si>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</si>
  <si>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</si>
  <si>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</si>
  <si>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</si>
  <si>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</si>
  <si>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</si>
  <si>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</si>
  <si>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</si>
  <si>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</si>
  <si>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</si>
  <si>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</si>
  <si>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</si>
  <si>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</si>
  <si>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</si>
  <si>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</si>
  <si>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</si>
  <si>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</si>
  <si>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</si>
  <si>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</si>
  <si>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</si>
  <si>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</si>
  <si>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</si>
  <si>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</si>
  <si>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</si>
  <si>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</si>
  <si>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</si>
  <si>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</si>
  <si>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</si>
  <si>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</si>
  <si>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</si>
  <si>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</si>
  <si>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</si>
  <si>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</si>
  <si>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</si>
  <si>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</si>
  <si>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</si>
  <si>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</si>
  <si>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</si>
  <si>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</si>
  <si>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</si>
  <si>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</si>
  <si>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</si>
  <si>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</si>
  <si>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</si>
  <si>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</si>
  <si>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</si>
  <si>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</si>
  <si>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</si>
  <si>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</si>
  <si>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</si>
  <si>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</si>
  <si>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</si>
  <si>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</si>
  <si>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</si>
  <si>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</si>
  <si>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</si>
  <si>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</si>
  <si>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</si>
  <si>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</si>
  <si>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</si>
  <si>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</si>
  <si>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</si>
  <si>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</si>
  <si>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</si>
  <si>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</si>
  <si>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</si>
  <si>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</si>
  <si>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</si>
  <si>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</si>
  <si>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</si>
  <si>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</si>
  <si>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</si>
  <si>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</si>
  <si>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</si>
  <si>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</si>
  <si>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</si>
  <si>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</si>
  <si>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</si>
  <si>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</si>
  <si>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</si>
  <si>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</si>
  <si>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</si>
  <si>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</si>
  <si>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</si>
  <si>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</si>
  <si>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</si>
  <si>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</si>
  <si>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</si>
  <si>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</si>
  <si>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</si>
  <si>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</si>
  <si>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</si>
  <si>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</si>
  <si>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</si>
  <si>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</si>
  <si>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</si>
  <si>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</si>
  <si>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</si>
  <si>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</si>
  <si>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</si>
  <si>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</si>
  <si>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</si>
  <si>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</si>
  <si>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</si>
  <si>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</si>
  <si>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</si>
  <si>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</si>
  <si>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</si>
  <si>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</si>
  <si>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</si>
  <si>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</si>
  <si>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</si>
  <si>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</si>
  <si>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</si>
  <si>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</si>
  <si>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</si>
  <si>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</si>
  <si>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</si>
  <si>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</si>
  <si>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</si>
  <si>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</si>
  <si>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</si>
  <si>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</si>
  <si>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</si>
  <si>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</si>
  <si>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</si>
  <si>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</si>
  <si>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</si>
  <si>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</si>
  <si>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</si>
  <si>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</si>
  <si>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</si>
  <si>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</si>
  <si>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</si>
  <si>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</si>
  <si>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</si>
  <si>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</si>
  <si>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</si>
  <si>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</si>
  <si>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</si>
  <si>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</si>
  <si>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</si>
  <si>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</si>
  <si>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</si>
  <si>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</si>
  <si>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</si>
  <si>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</si>
  <si>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</si>
  <si>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</si>
  <si>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</si>
  <si>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</si>
  <si>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</si>
  <si>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</si>
  <si>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</si>
  <si>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</si>
  <si>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</si>
  <si>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</si>
  <si>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</si>
  <si>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</si>
  <si>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</si>
  <si>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</si>
  <si>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</si>
  <si>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</si>
  <si>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</si>
  <si>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</si>
  <si>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</si>
  <si>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</si>
  <si>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</si>
  <si>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</si>
  <si>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</si>
  <si>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</si>
  <si>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</si>
  <si>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</si>
  <si>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</si>
  <si>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</si>
  <si>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</si>
  <si>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</si>
  <si>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</si>
  <si>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</si>
  <si>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</si>
  <si>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</si>
  <si>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</si>
  <si>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</si>
  <si>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</si>
  <si>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</si>
  <si>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</si>
  <si>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</si>
  <si>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</si>
  <si>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</si>
  <si>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</si>
  <si>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</si>
  <si>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</si>
  <si>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</si>
  <si>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</si>
  <si>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</si>
  <si>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</si>
  <si>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</si>
  <si>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</si>
  <si>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</si>
  <si>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</si>
  <si>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</si>
  <si>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</si>
  <si>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</si>
  <si>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</si>
  <si>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</si>
  <si>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</si>
  <si>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</si>
  <si>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</si>
  <si>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</si>
  <si>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</si>
  <si>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</si>
  <si>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</si>
  <si>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</si>
  <si>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</si>
  <si>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</si>
  <si>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</si>
  <si>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</si>
  <si>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</si>
  <si>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</si>
  <si>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</si>
  <si>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</si>
  <si>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</si>
  <si>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</si>
  <si>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</si>
  <si>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</si>
  <si>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</si>
  <si>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</si>
  <si>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</si>
  <si>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</si>
  <si>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</si>
  <si>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</si>
  <si>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</si>
  <si>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</si>
  <si>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</si>
  <si>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</si>
  <si>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</si>
  <si>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</si>
  <si>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</si>
  <si>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</si>
  <si>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</si>
  <si>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</si>
  <si>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</si>
  <si>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</si>
  <si>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</si>
  <si>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</si>
  <si>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</si>
  <si>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</si>
  <si>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</si>
  <si>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</si>
  <si>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</si>
  <si>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</si>
  <si>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</si>
  <si>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</si>
  <si>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</si>
  <si>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</si>
  <si>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</si>
  <si>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</si>
  <si>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</si>
  <si>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</si>
  <si>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</si>
  <si>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</si>
  <si>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</si>
  <si>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</si>
  <si>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</si>
  <si>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</si>
  <si>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</si>
  <si>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</si>
  <si>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</si>
  <si>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</si>
  <si>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</si>
  <si>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</si>
  <si>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</si>
  <si>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</si>
  <si>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</si>
  <si>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</si>
  <si>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</si>
  <si>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</si>
  <si>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</si>
  <si>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</si>
  <si>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</si>
  <si>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</si>
  <si>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</si>
  <si>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</si>
  <si>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</si>
  <si>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</si>
  <si>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</si>
  <si>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</si>
  <si>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</si>
  <si>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</si>
  <si>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</si>
  <si>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</si>
  <si>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</si>
  <si>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</si>
  <si>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</si>
  <si>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</si>
  <si>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</si>
  <si>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</si>
  <si>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</si>
  <si>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</si>
  <si>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</si>
  <si>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</si>
  <si>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</si>
  <si>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</si>
  <si>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</si>
  <si>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</si>
  <si>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</si>
  <si>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</si>
  <si>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</si>
  <si>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</si>
  <si>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</si>
  <si>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</si>
  <si>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Deprecated because this is an explanation of what implementers need to do internally to accomplish requirements, for example, adding coverage-information extensions to provided orders (See equirements 278 and 280)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</si>
</sst>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26" Type="http://schemas.openxmlformats.org/officeDocument/2006/relationships/hyperlink" Target="https://hl7.org/fhir/us/davinci-crd/STU2/card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4"/>
  <sheetViews>
    <sheetView tabSelected="1" zoomScale="120" zoomScaleNormal="120" workbookViewId="0">
      <pane xSplit="5" ySplit="1" topLeftCell="R250" activePane="bottomRight" state="frozen"/>
      <selection pane="topRight" activeCell="I1" sqref="I1"/>
      <selection pane="bottomLeft" activeCell="A2" sqref="A2"/>
      <selection pane="bottomRight" activeCell="T256" sqref="T256"/>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6"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20"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20"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20"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20"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20"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20"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20"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20"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20"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20"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20"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20"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20"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20"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20" ht="102" x14ac:dyDescent="0.2">
      <c r="A255" s="25">
        <v>254</v>
      </c>
      <c r="B255" s="33" t="s">
        <v>298</v>
      </c>
      <c r="C255" s="25" t="s">
        <v>310</v>
      </c>
      <c r="D255" s="25" t="s">
        <v>206</v>
      </c>
      <c r="E255" s="25" t="s">
        <v>34</v>
      </c>
      <c r="M255" s="30" t="str" cm="1">
        <f t="array" ref="M255">PAGE_NAME(B255)</f>
        <v>cards</v>
      </c>
      <c r="N255" s="30" t="str" cm="1">
        <f t="array" ref="N255">SECTION_NAME(B255)</f>
        <v>potential-crd-response-types</v>
      </c>
      <c r="P255" s="27" t="s">
        <v>445</v>
      </c>
      <c r="T255" s="27" t="s">
        <v>488</v>
      </c>
    </row>
    <row r="256" spans="1:20" ht="85" x14ac:dyDescent="0.2">
      <c r="A256" s="25">
        <v>255</v>
      </c>
      <c r="B256" s="33" t="s">
        <v>298</v>
      </c>
      <c r="C256" s="25" t="s">
        <v>311</v>
      </c>
      <c r="D256" s="25" t="s">
        <v>33</v>
      </c>
      <c r="E256" s="25" t="s">
        <v>34</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16"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16"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16"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16"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16"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16"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16"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16"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16" x14ac:dyDescent="0.2">
      <c r="B313" s="33"/>
    </row>
    <row r="314" spans="1:16" ht="17" x14ac:dyDescent="0.2">
      <c r="B314" s="33"/>
      <c r="M314" s="30" t="str" cm="1">
        <f t="array" ref="M314">PAGE_NAME(B314)</f>
        <v/>
      </c>
      <c r="N314" s="30" t="str" cm="1">
        <f t="array" ref="N314">SECTION_NAME(B314)</f>
        <v/>
      </c>
    </row>
    <row r="315" spans="1:16" ht="17" x14ac:dyDescent="0.2">
      <c r="B315" s="33"/>
      <c r="M315" s="30" t="str" cm="1">
        <f t="array" ref="M315">PAGE_NAME(B315)</f>
        <v/>
      </c>
      <c r="N315" s="30" t="str" cm="1">
        <f t="array" ref="N315">SECTION_NAME(B315)</f>
        <v/>
      </c>
    </row>
    <row r="316" spans="1:16" ht="17" x14ac:dyDescent="0.2">
      <c r="B316" s="33"/>
      <c r="M316" s="30" t="str" cm="1">
        <f t="array" ref="M316">PAGE_NAME(B316)</f>
        <v/>
      </c>
      <c r="N316" s="30" t="str" cm="1">
        <f t="array" ref="N316">SECTION_NAME(B316)</f>
        <v/>
      </c>
    </row>
    <row r="317" spans="1:16" ht="17" x14ac:dyDescent="0.2">
      <c r="B317" s="33"/>
      <c r="M317" s="30" t="str" cm="1">
        <f t="array" ref="M317">PAGE_NAME(B317)</f>
        <v/>
      </c>
      <c r="N317" s="30" t="str" cm="1">
        <f t="array" ref="N317">SECTION_NAME(B317)</f>
        <v/>
      </c>
    </row>
    <row r="318" spans="1:16" ht="17" x14ac:dyDescent="0.2">
      <c r="B318" s="33"/>
      <c r="M318" s="30" t="str" cm="1">
        <f t="array" ref="M318">PAGE_NAME(B318)</f>
        <v/>
      </c>
      <c r="N318" s="30" t="str" cm="1">
        <f t="array" ref="N318">SECTION_NAME(B318)</f>
        <v/>
      </c>
    </row>
    <row r="319" spans="1:16" ht="17" x14ac:dyDescent="0.2">
      <c r="B319" s="33"/>
      <c r="M319" s="30" t="str" cm="1">
        <f t="array" ref="M319">PAGE_NAME(B319)</f>
        <v/>
      </c>
      <c r="N319" s="30" t="str" cm="1">
        <f t="array" ref="N319">SECTION_NAME(B319)</f>
        <v/>
      </c>
    </row>
    <row r="320" spans="1:16" ht="17" x14ac:dyDescent="0.2">
      <c r="B320" s="33"/>
      <c r="M320" s="30" t="str" cm="1">
        <f t="array" ref="M320">PAGE_NAME(B320)</f>
        <v/>
      </c>
      <c r="N320" s="30" t="str" cm="1">
        <f t="array" ref="N320">SECTION_NAME(B320)</f>
        <v/>
      </c>
    </row>
    <row r="321" spans="2:14" ht="17" x14ac:dyDescent="0.2">
      <c r="B321" s="33"/>
      <c r="M321" s="30" t="str" cm="1">
        <f t="array" ref="M321">PAGE_NAME(B321)</f>
        <v/>
      </c>
      <c r="N321" s="30" t="str" cm="1">
        <f t="array" ref="N321">SECTION_NAME(B321)</f>
        <v/>
      </c>
    </row>
    <row r="322" spans="2:14" ht="17" x14ac:dyDescent="0.2">
      <c r="B322" s="33"/>
      <c r="M322" s="30" t="str" cm="1">
        <f t="array" ref="M322">PAGE_NAME(B322)</f>
        <v/>
      </c>
      <c r="N322" s="30" t="str" cm="1">
        <f t="array" ref="N322">SECTION_NAME(B322)</f>
        <v/>
      </c>
    </row>
    <row r="323" spans="2:14" ht="17" x14ac:dyDescent="0.2">
      <c r="B323" s="33"/>
      <c r="M323" s="30" t="str" cm="1">
        <f t="array" ref="M323">PAGE_NAME(B323)</f>
        <v/>
      </c>
      <c r="N323" s="30" t="str" cm="1">
        <f t="array" ref="N323">SECTION_NAME(B323)</f>
        <v/>
      </c>
    </row>
    <row r="324" spans="2:14" ht="17" x14ac:dyDescent="0.2">
      <c r="B324" s="33"/>
      <c r="M324" s="30" t="str" cm="1">
        <f t="array" ref="M324">PAGE_NAME(B324)</f>
        <v/>
      </c>
      <c r="N324" s="30" t="str" cm="1">
        <f t="array" ref="N324">SECTION_NAME(B324)</f>
        <v/>
      </c>
    </row>
    <row r="325" spans="2:14" ht="17" x14ac:dyDescent="0.2">
      <c r="B325" s="33"/>
      <c r="M325" s="30" t="str" cm="1">
        <f t="array" ref="M325">PAGE_NAME(B325)</f>
        <v/>
      </c>
      <c r="N325" s="30" t="str" cm="1">
        <f t="array" ref="N325">SECTION_NAME(B325)</f>
        <v/>
      </c>
    </row>
    <row r="326" spans="2:14" ht="17" x14ac:dyDescent="0.2">
      <c r="M326" s="30" t="str" cm="1">
        <f t="array" ref="M326">PAGE_NAME(B326)</f>
        <v/>
      </c>
      <c r="N326" s="30" t="str" cm="1">
        <f t="array" ref="N326">SECTION_NAME(B326)</f>
        <v/>
      </c>
    </row>
    <row r="327" spans="2:14" ht="17" x14ac:dyDescent="0.2">
      <c r="M327" s="30" t="str" cm="1">
        <f t="array" ref="M327">PAGE_NAME(B327)</f>
        <v/>
      </c>
      <c r="N327" s="30" t="str" cm="1">
        <f t="array" ref="N327">SECTION_NAME(B327)</f>
        <v/>
      </c>
    </row>
    <row r="328" spans="2:14" ht="17" x14ac:dyDescent="0.2">
      <c r="M328" s="30" t="str" cm="1">
        <f t="array" ref="M328">PAGE_NAME(B328)</f>
        <v/>
      </c>
      <c r="N328" s="30" t="str" cm="1">
        <f t="array" ref="N328">SECTION_NAME(B328)</f>
        <v/>
      </c>
    </row>
    <row r="329" spans="2:14" ht="17" x14ac:dyDescent="0.2">
      <c r="M329" s="30" t="str" cm="1">
        <f t="array" ref="M329">PAGE_NAME(B329)</f>
        <v/>
      </c>
      <c r="N329" s="30" t="str" cm="1">
        <f t="array" ref="N329">SECTION_NAME(B329)</f>
        <v/>
      </c>
    </row>
    <row r="330" spans="2:14" ht="17" x14ac:dyDescent="0.2">
      <c r="M330" s="30" t="str" cm="1">
        <f t="array" ref="M330">PAGE_NAME(B330)</f>
        <v/>
      </c>
      <c r="N330" s="30" t="str" cm="1">
        <f t="array" ref="N330">SECTION_NAME(B330)</f>
        <v/>
      </c>
    </row>
    <row r="331" spans="2:14" ht="17" x14ac:dyDescent="0.2">
      <c r="M331" s="30" t="str" cm="1">
        <f t="array" ref="M331">PAGE_NAME(B331)</f>
        <v/>
      </c>
      <c r="N331" s="30" t="str" cm="1">
        <f t="array" ref="N331">SECTION_NAME(B331)</f>
        <v/>
      </c>
    </row>
    <row r="332" spans="2:14" ht="17" x14ac:dyDescent="0.2">
      <c r="M332" s="30" t="str" cm="1">
        <f t="array" ref="M332">PAGE_NAME(B332)</f>
        <v/>
      </c>
      <c r="N332" s="30" t="str" cm="1">
        <f t="array" ref="N332">SECTION_NAME(B332)</f>
        <v/>
      </c>
    </row>
    <row r="333" spans="2:14" ht="17" x14ac:dyDescent="0.2">
      <c r="M333" s="30" t="str" cm="1">
        <f t="array" ref="M333">PAGE_NAME(B333)</f>
        <v/>
      </c>
      <c r="N333" s="30" t="str" cm="1">
        <f t="array" ref="N333">SECTION_NAME(B333)</f>
        <v/>
      </c>
    </row>
    <row r="334" spans="2:14" ht="17" x14ac:dyDescent="0.2">
      <c r="M334" s="30" t="str" cm="1">
        <f t="array" ref="M334">PAGE_NAME(B334)</f>
        <v/>
      </c>
      <c r="N334" s="30" t="str" cm="1">
        <f t="array" ref="N334">SECTION_NAME(B334)</f>
        <v/>
      </c>
    </row>
    <row r="335" spans="2:14" ht="17" x14ac:dyDescent="0.2">
      <c r="M335" s="30" t="str" cm="1">
        <f t="array" ref="M335">PAGE_NAME(B335)</f>
        <v/>
      </c>
      <c r="N335" s="30" t="str" cm="1">
        <f t="array" ref="N335">SECTION_NAME(B335)</f>
        <v/>
      </c>
    </row>
    <row r="336" spans="2:14"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M345" s="30" t="str" cm="1">
        <f t="array" ref="M345">PAGE_NAME(B345)</f>
        <v/>
      </c>
      <c r="N345" s="30" t="str" cm="1">
        <f t="array" ref="N345">SECTION_NAME(B345)</f>
        <v/>
      </c>
    </row>
    <row r="346" spans="2:14" ht="17" x14ac:dyDescent="0.2">
      <c r="B346" s="33"/>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row r="434" spans="13:14" ht="17" x14ac:dyDescent="0.2">
      <c r="M434" s="30" t="str" cm="1">
        <f t="array" ref="M434">PAGE_NAME(B434)</f>
        <v/>
      </c>
      <c r="N434" s="30" t="str" cm="1">
        <f t="array" ref="N434">SECTION_NAME(B434)</f>
        <v/>
      </c>
    </row>
  </sheetData>
  <autoFilter ref="A1:T312"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G298:G1048576 G2:G296</xm:sqref>
        </x14:dataValidation>
        <x14:dataValidation type="list" allowBlank="1" showInputMessage="1" showErrorMessage="1" xr:uid="{4866B9BF-5615-6646-965F-909D4D65F2A5}">
          <x14:formula1>
            <xm:f>'Column Data'!$A$2:$A$7</xm:f>
          </x14:formula1>
          <xm:sqref>D298:D1048576 D2:D296</xm:sqref>
        </x14:dataValidation>
        <x14:dataValidation type="list" allowBlank="1" showInputMessage="1" showErrorMessage="1" xr:uid="{F4FB27A2-804E-CB49-B85C-BBEE0C688B4F}">
          <x14:formula1>
            <xm:f>'Column Data'!$D$2:$D$4</xm:f>
          </x14:formula1>
          <xm:sqref>I298:I1048576 K298:K1048576 K2:K296 I2:I296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2025-12-05T20:13:10Z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