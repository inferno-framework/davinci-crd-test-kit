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3F22370C-3EBF-A84B-A177-C594769D23FF}" xr6:coauthVersionLast="47" xr6:coauthVersionMax="47" xr10:uidLastSave="{00000000-0000-0000-0000-000000000000}"/>
  <bookViews>
    <workbookView xWindow="160" yWindow="920" windowWidth="3424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Requirements!$A$1:$T$433</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23" i="5" l="1"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M243" i="5"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6" i="5" a="1"/>
  <c r="N316" i="5" s="1"/>
  <c r="N314" i="5" a="1"/>
  <c r="N314" i="5" s="1"/>
  <c r="N315" i="5" a="1"/>
  <c r="N315"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6" i="5" a="1"/>
  <c r="M316" i="5" s="1"/>
  <c r="M314" i="5" a="1"/>
  <c r="M314" i="5" s="1"/>
  <c r="M315" i="5" a="1"/>
  <c r="M315"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<sst xmlns="http://schemas.openxmlformats.org/spreadsheetml/2006/main" count="1583" uniqueCount="505">
  <si>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</si>
  <si>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</si>
  <si>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</si>
  <si>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</si>
  <si>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</si>
  <si>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</si>
  <si>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</si>
  <si>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</si>
  <si>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</si>
  <si>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</si>
  <si>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</si>
  <si>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</si>
  <si>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</si>
  <si>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</si>
  <si>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</si>
  <si>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</si>
  <si>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</si>
  <si>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</si>
  <si>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</si>
  <si>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</si>
  <si>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</si>
  <si>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</si>
  <si>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</si>
  <si>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</si>
  <si>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</si>
  <si>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</si>
  <si>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</si>
  <si>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</si>
  <si>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</si>
  <si>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</si>
  <si>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</si>
  <si>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</si>
  <si>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</si>
  <si>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</si>
  <si>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</si>
  <si>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</si>
  <si>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</si>
  <si>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</si>
  <si>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</si>
  <si>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</si>
  <si>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</si>
  <si>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</si>
  <si>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</si>
  <si>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</si>
  <si>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</si>
  <si>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</si>
  <si>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</si>
  <si>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</si>
  <si>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</si>
  <si>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</si>
  <si>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</si>
  <si>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</si>
  <si>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</si>
  <si>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</si>
  <si>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</si>
  <si>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</si>
  <si>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</si>
  <si>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</si>
  <si>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</si>
  <si>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</si>
  <si>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</si>
  <si>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</si>
  <si>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</si>
  <si>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</si>
  <si>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</si>
  <si>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</si>
  <si>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</si>
  <si>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</si>
  <si>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</si>
  <si>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</si>
  <si>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</si>
  <si>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</si>
  <si>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</si>
  <si>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</si>
  <si>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</si>
  <si>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</si>
  <si>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</si>
  <si>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</si>
  <si>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</si>
  <si>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</si>
  <si>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</si>
  <si>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</si>
  <si>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</si>
  <si>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</si>
  <si>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</si>
  <si>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</si>
  <si>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</si>
  <si>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</si>
  <si>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</si>
  <si>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</si>
  <si>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</si>
  <si>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</si>
  <si>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</si>
  <si>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</si>
  <si>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</si>
  <si>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</si>
  <si>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</si>
  <si>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</si>
  <si>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</si>
  <si>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</si>
  <si>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</si>
  <si>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</si>
  <si>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</si>
  <si>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</si>
  <si>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</si>
  <si>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</si>
  <si>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</si>
  <si>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</si>
  <si>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</si>
  <si>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</si>
  <si>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</si>
  <si>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</si>
  <si>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</si>
  <si>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</si>
  <si>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</si>
  <si>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</si>
  <si>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</si>
  <si>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</si>
  <si>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</si>
  <si>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</si>
  <si>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</si>
  <si>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</si>
  <si>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</si>
  <si>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</si>
  <si>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</si>
  <si>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</si>
  <si>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</si>
  <si>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</si>
  <si>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</si>
  <si>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</si>
  <si>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</si>
  <si>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</si>
  <si>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</si>
  <si>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</si>
  <si>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</si>
  <si>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</si>
  <si>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</si>
  <si>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</si>
  <si>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</si>
  <si>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</si>
  <si>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</si>
  <si>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</si>
  <si>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</si>
  <si>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</si>
  <si>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</si>
  <si>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</si>
  <si>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</si>
  <si>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</si>
  <si>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</si>
  <si>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</si>
  <si>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</si>
  <si>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</si>
  <si>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</si>
  <si>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</si>
  <si>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</si>
  <si>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</si>
  <si>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</si>
  <si>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</si>
  <si>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</si>
  <si>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</si>
  <si>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</si>
  <si>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</si>
  <si>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</si>
  <si>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</si>
  <si>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</si>
  <si>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</si>
  <si>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</si>
  <si>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</si>
  <si>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</si>
  <si>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</si>
  <si>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</si>
  <si>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</si>
  <si>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</si>
  <si>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</si>
  <si>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</si>
  <si>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</si>
  <si>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</si>
  <si>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</si>
  <si>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</si>
  <si>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</si>
  <si>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</si>
  <si>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</si>
  <si>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</si>
  <si>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</si>
  <si>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</si>
  <si>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</si>
  <si>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</si>
  <si>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</si>
  <si>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</si>
  <si>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</si>
  <si>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</si>
  <si>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</si>
  <si>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</si>
  <si>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</si>
  <si>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</si>
  <si>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</si>
  <si>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</si>
  <si>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</si>
  <si>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</si>
  <si>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</si>
  <si>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</si>
  <si>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</si>
  <si>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</si>
  <si>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</si>
  <si>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</si>
  <si>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</si>
  <si>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</si>
  <si>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</si>
  <si>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</si>
  <si>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</si>
  <si>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</si>
  <si>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</si>
  <si>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</si>
  <si>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</si>
  <si>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</si>
  <si>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</si>
  <si>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</si>
  <si>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</si>
  <si>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</si>
  <si>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</si>
  <si>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</si>
  <si>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</si>
  <si>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</si>
  <si>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</si>
  <si>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</si>
  <si>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</si>
  <si>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</si>
  <si>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</si>
  <si>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</si>
  <si>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</si>
  <si>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</si>
  <si>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</si>
  <si>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</si>
  <si>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</si>
  <si>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</si>
  <si>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</si>
  <si>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</si>
  <si>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</si>
  <si>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</si>
  <si>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</si>
  <si>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</si>
  <si>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</si>
  <si>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</si>
  <si>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</si>
  <si>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</si>
  <si>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</si>
  <si>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</si>
  <si>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</si>
  <si>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</si>
  <si>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</si>
  <si>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</si>
  <si>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</si>
  <si>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</si>
  <si>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</si>
  <si>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</si>
  <si>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</si>
  <si>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</si>
  <si>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</si>
  <si>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</si>
  <si>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</si>
  <si>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</si>
  <si>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</si>
  <si>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</si>
  <si>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</si>
  <si>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</si>
  <si>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</si>
  <si>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</si>
  <si>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</si>
  <si>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</si>
  <si>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</si>
  <si>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</si>
  <si>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</si>
  <si>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</si>
  <si>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</si>
  <si>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</si>
  <si>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</si>
  <si>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</si>
  <si>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</si>
  <si>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</si>
  <si>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</si>
  <si>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</si>
  <si>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</si>
  <si>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</si>
  <si>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</si>
  <si>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</si>
  <si>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</si>
  <si>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</si>
  <si>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</si>
  <si>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</si>
  <si>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</si>
  <si>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</si>
  <si>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</si>
  <si>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</si>
  <si>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</si>
  <si>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</si>
  <si>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</si>
  <si>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</si>
  <si>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</si>
  <si>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</si>
  <si>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</si>
  <si>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</si>
  <si>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</si>
  <si>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</si>
  <si>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</si>
  <si>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</si>
  <si>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</si>
  <si>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</si>
  <si>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</si>
  <si>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</si>
  <si>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</si>
  <si>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</si>
  <si>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</si>
  <si>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</si>
  <si>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</si>
  <si>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</si>
  <si>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</si>
  <si>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</si>
  <si>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</si>
  <si>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</si>
  <si>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</si>
  <si>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</si>
  <si>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</si>
  <si>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</si>
  <si>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</si>
  <si>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</si>
  <si>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</si>
  <si>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</si>
  <si>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</si>
  <si>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</si>
  <si>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</si>
  <si>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</si>
  <si>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</si>
  <si>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</si>
  <si>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</si>
  <si>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</si>
  <si>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</si>
  <si>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</si>
  <si>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</si>
  <si>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</si>
  <si>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</si>
  <si>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</si>
  <si>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</si>
  <si>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</si>
  <si>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</si>
  <si>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</si>
  <si>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</si>
  <si>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</si>
  <si>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</si>
  <si>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</si>
  <si>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</si>
  <si>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</si>
  <si>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</si>
  <si>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</si>
  <si>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</si>
  <si>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</si>
  <si>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</si>
  <si>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</si>
  <si>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</si>
  <si>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</si>
  <si>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</si>
  <si>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</si>
  <si>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</si>
  <si>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</si>
  <si>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</si>
  <si>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</si>
  <si>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</si>
  <si>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</si>
  <si>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</si>
  <si>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</si>
  <si>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</si>
  <si>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</si>
  <si>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</si>
  <si>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</si>
  <si>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</si>
  <si>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</si>
  <si>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</si>
  <si>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</si>
  <si>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</si>
  <si>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</si>
  <si>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</si>
  <si>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</si>
  <si>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</si>
  <si>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</si>
  <si>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</si>
  <si>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</si>
  <si>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</si>
  <si>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</si>
  <si>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</si>
  <si>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</si>
  <si>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</si>
  <si>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</si>
  <si>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</si>
  <si>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</si>
  <si>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</si>
  <si>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</si>
  <si>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</si>
  <si>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</si>
  <si>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</si>
  <si>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</si>
  <si>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</si>
  <si>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</si>
  <si>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</si>
  <si>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</si>
  <si>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</si>
  <si>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</si>
  <si>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</si>
  <si>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</si>
  <si>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</si>
  <si>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</si>
  <si>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</si>
  <si>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</si>
  <si>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</si>
  <si>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</si>
  <si>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</si>
  <si>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</si>
  <si>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</si>
  <si>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</si>
  <si>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</si>
  <si>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</si>
  <si>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</si>
  <si>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</si>
  <si>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</si>
  <si>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</si>
  <si>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</si>
  <si>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</si>
  <si>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</si>
  <si>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</si>
  <si>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</si>
  <si>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</si>
  <si>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</si>
  <si>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</si>
  <si>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</si>
  <si>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</si>
  <si>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</si>
  <si>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</si>
  <si>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</si>
  <si>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</si>
  <si>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</si>
  <si>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</si>
  <si>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</si>
  <si>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</si>
  <si>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</si>
  <si>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</si>
  <si>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</si>
  <si>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</si>
  <si>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</si>
  <si>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</si>
  <si>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</si>
  <si>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</si>
  <si>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</si>
  <si>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</si>
  <si>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</si>
  <si>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</si>
  <si>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</si>
  <si>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</si>
  <si>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</si>
  <si>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</si>
  <si>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</si>
  <si>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</si>
  <si>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</si>
  <si>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</si>
  <si>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</si>
  <si>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</si>
  <si>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</si>
  <si>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</si>
  <si>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</si>
  <si>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</si>
  <si>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</si>
  <si>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</si>
  <si>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</si>
  <si>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</si>
  <si>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</si>
  <si>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</si>
  <si>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</si>
  <si>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</si>
  <si>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</si>
  <si>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</si>
  <si>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</si>
  <si>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</si>
  <si>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</si>
  <si>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</si>
  <si>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</si>
  <si>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</si>
  <si>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</si>
  <si>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</si>
  <si>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</si>
  <si>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</si>
  <si>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</si>
  <si>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Deprecated because this is an explanation of what implementers need to do internally to accomplish requirements, for example, adding coverage-information extensions to provided orders (See equirements 278 and 280)</t>
  </si>
  <si>
    <t>https://hl7.org/fhir/us/davinci-crd/STU2/CapabilityStatement-crd-client.html</t>
  </si>
  <si>
    <t>the CRD Client SHALL support all ‘SHOULD’ ‘read’ and ‘search’ capabilities listed below for resources referenced in supported hooks and order types if it does not support returning the associated resources as part of CDS Hooks pre-fetch.</t>
  </si>
  <si>
    <t>Implementations SHALL meet the general security requirements documented in the [HRex implementation guide](http://hl7.org/fhir/us/davinci-hrex/STU1/security.html)</t>
  </si>
  <si>
    <t>https://hl7.org/fhir/us/davinci-crd/STU2/CapabilityStatement-crd-client.html#mode1</t>
  </si>
  <si>
    <t>If the client supports DTR</t>
  </si>
  <si>
    <t>[CRD Clients SHALL also implement the US Core Server Capability Statement imported by this CapabilityStatement]</t>
  </si>
  <si>
    <t>The CRD Client SHALL also support ‘update’ functionality for [the Appointment resource type when] the client allows invoking [the appointment-book hook].</t>
  </si>
  <si>
    <t>The CRD Client SHALL also support ‘update’ functionality for [the Encounter resource type when] the client allows invoking [the encounter-start or encounter-discharge hook].</t>
  </si>
  <si>
    <t>The CRD Client SHALL also support ‘update’ functionality for [the DeviceRequest resource type when] the client allows invoking [the order-dispatch, order-select, or order-sign hook].</t>
  </si>
  <si>
    <t>The CRD Client SHALL also support ‘update’ functionality for [the CommunicationRequest resource type when] the client allows invoking [the order-dispatch, order-select, or order-sign hook].</t>
  </si>
  <si>
    <t>The CRD Client SHALL also support ‘update’ functionality for [the MedicationRequest resource type when] the client allows invoking [the order-dispatch, order-select, or order-sign hook].</t>
  </si>
  <si>
    <t>The CRD Client SHALL also support ‘update’ functionality for [the NutritionOrder resource type when] the client allows invoking [the order-dispatch, order-select, or order-sign hook].</t>
  </si>
  <si>
    <t>The CRD Client SHALL also support ‘update’ functionality for [the ServiceRequest resource type when] the client allows invoking [the order-dispatch, order-select, or order-sign hook].</t>
  </si>
  <si>
    <t>The CRD Client SHALL also support ‘update’ functionality for [the VisionPrescription resource type when] the client allows invoking [the order-dispatch, order-select, or order-sign hook].</t>
  </si>
  <si>
    <t>This only adds a few capabilities beyond what is already in US Core starting with 3.1.1:
- Coverage search doesn't get required by US Core until US Core 6
- Coverage search by status not required by US Core
- Encounter search by location (with patient) required by US Core starting in US Core 5
- PractitionerRole search by organization and id not required by US Core</t>
  </si>
  <si>
    <t>When a CRD client invokes a CRD server via CDS Hooks, it will provide an access token that allows the CRD server to retrieve additional patient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</si>
</sst>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226" Type="http://schemas.openxmlformats.org/officeDocument/2006/relationships/hyperlink" Target="https://hl7.org/fhir/us/davinci-crd/STU2/cards.html" TargetMode="External"/><Relationship Id="rId268" Type="http://schemas.openxmlformats.org/officeDocument/2006/relationships/hyperlink" Target="https://hl7.org/fhir/us/davinci-crd/STU2/CapabilityStatement-crd-client.html" TargetMode="External"/><Relationship Id="rId32" Type="http://schemas.openxmlformats.org/officeDocument/2006/relationships/hyperlink" Target="https://hl7.org/fhir/us/davinci-crd/STU2/foundation.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269" Type="http://schemas.openxmlformats.org/officeDocument/2006/relationships/hyperlink" Target="https://hl7.org/fhir/us/davinci-crd/STU2/CapabilityStatement-crd-client.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270" Type="http://schemas.openxmlformats.org/officeDocument/2006/relationships/hyperlink" Target="https://hl7.org/fhir/us/davinci-crd/STU2/CapabilityStatement-crd-client.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71" Type="http://schemas.openxmlformats.org/officeDocument/2006/relationships/hyperlink" Target="https://hl7.org/fhir/us/davinci-crd/STU2/CapabilityStatement-crd-client.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272" Type="http://schemas.openxmlformats.org/officeDocument/2006/relationships/hyperlink" Target="https://hl7.org/fhir/us/davinci-crd/STU2/CapabilityStatement-crd-client.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262" Type="http://schemas.openxmlformats.org/officeDocument/2006/relationships/hyperlink" Target="https://hl7.org/fhir/us/davinci-crd/STU2/CapabilityStatement-crd-client.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273" Type="http://schemas.openxmlformats.org/officeDocument/2006/relationships/hyperlink" Target="https://hl7.org/fhir/us/davinci-crd/STU2/foundation.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263" Type="http://schemas.openxmlformats.org/officeDocument/2006/relationships/hyperlink" Target="https://hl7.org/fhir/us/davinci-crd/STU2/CapabilityStatement-crd-client.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264" Type="http://schemas.openxmlformats.org/officeDocument/2006/relationships/hyperlink" Target="https://hl7.org/fhir/us/davinci-crd/STU2/CapabilityStatement-crd-client.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265" Type="http://schemas.openxmlformats.org/officeDocument/2006/relationships/hyperlink" Target="https://hl7.org/fhir/us/davinci-crd/STU2/CapabilityStatement-crd-client.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266" Type="http://schemas.openxmlformats.org/officeDocument/2006/relationships/hyperlink" Target="https://hl7.org/fhir/us/davinci-crd/STU2/CapabilityStatement-crd-client.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267" Type="http://schemas.openxmlformats.org/officeDocument/2006/relationships/hyperlink" Target="https://hl7.org/fhir/us/davinci-crd/STU2/CapabilityStatement-crd-client.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149"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3"/>
  <sheetViews>
    <sheetView tabSelected="1" zoomScale="120" zoomScaleNormal="120" workbookViewId="0">
      <pane xSplit="5" ySplit="1" topLeftCell="J320" activePane="bottomRight" state="frozen"/>
      <selection pane="topRight" activeCell="I1" sqref="I1"/>
      <selection pane="bottomLeft" activeCell="A2" sqref="A2"/>
      <selection pane="bottomRight" activeCell="P324" sqref="P324"/>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5"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20"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20"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20"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20"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20"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20"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20"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20"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20"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20"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20"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20"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20"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20"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20" ht="102" x14ac:dyDescent="0.2">
      <c r="A255" s="25">
        <v>254</v>
      </c>
      <c r="B255" s="33" t="s">
        <v>298</v>
      </c>
      <c r="C255" s="25" t="s">
        <v>310</v>
      </c>
      <c r="D255" s="25" t="s">
        <v>206</v>
      </c>
      <c r="E255" s="25" t="s">
        <v>34</v>
      </c>
      <c r="M255" s="30" t="str" cm="1">
        <f t="array" ref="M255">PAGE_NAME(B255)</f>
        <v>cards</v>
      </c>
      <c r="N255" s="30" t="str" cm="1">
        <f t="array" ref="N255">SECTION_NAME(B255)</f>
        <v>potential-crd-response-types</v>
      </c>
      <c r="P255" s="27" t="s">
        <v>445</v>
      </c>
      <c r="T255" s="27" t="s">
        <v>488</v>
      </c>
    </row>
    <row r="256" spans="1:20" ht="85" x14ac:dyDescent="0.2">
      <c r="A256" s="25">
        <v>255</v>
      </c>
      <c r="B256" s="33" t="s">
        <v>298</v>
      </c>
      <c r="C256" s="25" t="s">
        <v>311</v>
      </c>
      <c r="D256" s="25" t="s">
        <v>33</v>
      </c>
      <c r="E256" s="25" t="s">
        <v>34</v>
      </c>
      <c r="G256" s="25" t="b">
        <v>1</v>
      </c>
      <c r="H256" s="27" t="s">
        <v>493</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20"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20"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20"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20"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20"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20"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20"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20"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20" ht="170" x14ac:dyDescent="0.2">
      <c r="A313" s="25">
        <v>312</v>
      </c>
      <c r="B313" s="33" t="s">
        <v>489</v>
      </c>
      <c r="C313" s="25" t="s">
        <v>490</v>
      </c>
      <c r="D313" s="25" t="s">
        <v>33</v>
      </c>
      <c r="E313" s="25" t="s">
        <v>34</v>
      </c>
      <c r="P313" s="27" t="s">
        <v>440</v>
      </c>
      <c r="T313" s="27" t="s">
        <v>503</v>
      </c>
    </row>
    <row r="314" spans="1:20" ht="51" x14ac:dyDescent="0.2">
      <c r="A314" s="25">
        <v>313</v>
      </c>
      <c r="B314" s="33" t="s">
        <v>492</v>
      </c>
      <c r="C314" s="25" t="s">
        <v>491</v>
      </c>
      <c r="D314" s="25" t="s">
        <v>33</v>
      </c>
      <c r="E314" s="25" t="s">
        <v>34</v>
      </c>
      <c r="M314" s="30" t="str" cm="1">
        <f t="array" ref="M314">PAGE_NAME(B314)</f>
        <v>CapabilityStatement-crd-client</v>
      </c>
      <c r="N314" s="30" t="str" cm="1">
        <f t="array" ref="N314">SECTION_NAME(B314)</f>
        <v>mode1</v>
      </c>
      <c r="P314" s="27" t="s">
        <v>447</v>
      </c>
    </row>
    <row r="315" spans="1:20" ht="34" x14ac:dyDescent="0.2">
      <c r="A315" s="25">
        <v>314</v>
      </c>
      <c r="B315" s="33" t="s">
        <v>489</v>
      </c>
      <c r="C315" s="25" t="s">
        <v>494</v>
      </c>
      <c r="D315" s="25" t="s">
        <v>33</v>
      </c>
      <c r="E315" s="25" t="s">
        <v>34</v>
      </c>
      <c r="M315" s="30" t="str" cm="1">
        <f t="array" ref="M315">PAGE_NAME(B315)</f>
        <v>CapabilityStatement-crd-client</v>
      </c>
      <c r="N315" s="30" t="str" cm="1">
        <f t="array" ref="N315">SECTION_NAME(B315)</f>
        <v/>
      </c>
      <c r="P315" s="27" t="s">
        <v>440</v>
      </c>
    </row>
    <row r="316" spans="1:20" ht="51" x14ac:dyDescent="0.2">
      <c r="A316" s="25">
        <v>315</v>
      </c>
      <c r="B316" s="33" t="s">
        <v>489</v>
      </c>
      <c r="C316" s="25" t="s">
        <v>495</v>
      </c>
      <c r="D316" s="25" t="s">
        <v>33</v>
      </c>
      <c r="E316" s="25" t="s">
        <v>34</v>
      </c>
      <c r="M316" s="30" t="str" cm="1">
        <f t="array" ref="M316">PAGE_NAME(B316)</f>
        <v>CapabilityStatement-crd-client</v>
      </c>
      <c r="N316" s="30" t="str" cm="1">
        <f t="array" ref="N316">SECTION_NAME(B316)</f>
        <v/>
      </c>
      <c r="P316" s="27" t="s">
        <v>440</v>
      </c>
    </row>
    <row r="317" spans="1:20" ht="51" x14ac:dyDescent="0.2">
      <c r="A317" s="25">
        <v>316</v>
      </c>
      <c r="B317" s="33" t="s">
        <v>489</v>
      </c>
      <c r="C317" s="25" t="s">
        <v>496</v>
      </c>
      <c r="D317" s="25" t="s">
        <v>33</v>
      </c>
      <c r="E317" s="25" t="s">
        <v>34</v>
      </c>
      <c r="M317" s="30" t="str" cm="1">
        <f t="array" ref="M317">PAGE_NAME(B317)</f>
        <v>CapabilityStatement-crd-client</v>
      </c>
      <c r="N317" s="30" t="str" cm="1">
        <f t="array" ref="N317">SECTION_NAME(B317)</f>
        <v/>
      </c>
      <c r="P317" s="27" t="s">
        <v>440</v>
      </c>
    </row>
    <row r="318" spans="1:20" ht="68" x14ac:dyDescent="0.2">
      <c r="A318" s="25">
        <v>317</v>
      </c>
      <c r="B318" s="33" t="s">
        <v>489</v>
      </c>
      <c r="C318" s="25" t="s">
        <v>498</v>
      </c>
      <c r="D318" s="25" t="s">
        <v>33</v>
      </c>
      <c r="E318" s="25" t="s">
        <v>34</v>
      </c>
      <c r="M318" s="30" t="str" cm="1">
        <f t="array" ref="M318">PAGE_NAME(B318)</f>
        <v>CapabilityStatement-crd-client</v>
      </c>
      <c r="N318" s="30" t="str" cm="1">
        <f t="array" ref="N318">SECTION_NAME(B318)</f>
        <v/>
      </c>
      <c r="P318" s="27" t="s">
        <v>440</v>
      </c>
    </row>
    <row r="319" spans="1:20" ht="51" x14ac:dyDescent="0.2">
      <c r="A319" s="25">
        <v>318</v>
      </c>
      <c r="B319" s="33" t="s">
        <v>489</v>
      </c>
      <c r="C319" s="25" t="s">
        <v>497</v>
      </c>
      <c r="D319" s="25" t="s">
        <v>33</v>
      </c>
      <c r="E319" s="25" t="s">
        <v>34</v>
      </c>
      <c r="M319" s="30" t="str" cm="1">
        <f t="array" ref="M319">PAGE_NAME(B319)</f>
        <v>CapabilityStatement-crd-client</v>
      </c>
      <c r="N319" s="30" t="str" cm="1">
        <f t="array" ref="N319">SECTION_NAME(B319)</f>
        <v/>
      </c>
      <c r="P319" s="27" t="s">
        <v>440</v>
      </c>
    </row>
    <row r="320" spans="1:20" ht="51" x14ac:dyDescent="0.2">
      <c r="A320" s="25">
        <v>319</v>
      </c>
      <c r="B320" s="33" t="s">
        <v>489</v>
      </c>
      <c r="C320" s="25" t="s">
        <v>499</v>
      </c>
      <c r="D320" s="25" t="s">
        <v>33</v>
      </c>
      <c r="E320" s="25" t="s">
        <v>34</v>
      </c>
      <c r="M320" s="30" t="str" cm="1">
        <f t="array" ref="M320">PAGE_NAME(B320)</f>
        <v>CapabilityStatement-crd-client</v>
      </c>
      <c r="N320" s="30" t="str" cm="1">
        <f t="array" ref="N320">SECTION_NAME(B320)</f>
        <v/>
      </c>
      <c r="P320" s="27" t="s">
        <v>440</v>
      </c>
    </row>
    <row r="321" spans="1:16" ht="51" x14ac:dyDescent="0.2">
      <c r="A321" s="25">
        <v>320</v>
      </c>
      <c r="B321" s="33" t="s">
        <v>489</v>
      </c>
      <c r="C321" s="25" t="s">
        <v>500</v>
      </c>
      <c r="D321" s="25" t="s">
        <v>33</v>
      </c>
      <c r="E321" s="25" t="s">
        <v>34</v>
      </c>
      <c r="M321" s="30" t="str" cm="1">
        <f t="array" ref="M321">PAGE_NAME(B321)</f>
        <v>CapabilityStatement-crd-client</v>
      </c>
      <c r="N321" s="30" t="str" cm="1">
        <f t="array" ref="N321">SECTION_NAME(B321)</f>
        <v/>
      </c>
      <c r="P321" s="27" t="s">
        <v>440</v>
      </c>
    </row>
    <row r="322" spans="1:16" ht="51" x14ac:dyDescent="0.2">
      <c r="A322" s="25">
        <v>321</v>
      </c>
      <c r="B322" s="33" t="s">
        <v>489</v>
      </c>
      <c r="C322" s="25" t="s">
        <v>501</v>
      </c>
      <c r="D322" s="25" t="s">
        <v>33</v>
      </c>
      <c r="E322" s="25" t="s">
        <v>34</v>
      </c>
      <c r="M322" s="30" t="str" cm="1">
        <f t="array" ref="M322">PAGE_NAME(B322)</f>
        <v>CapabilityStatement-crd-client</v>
      </c>
      <c r="N322" s="30" t="str" cm="1">
        <f t="array" ref="N322">SECTION_NAME(B322)</f>
        <v/>
      </c>
      <c r="P322" s="27" t="s">
        <v>440</v>
      </c>
    </row>
    <row r="323" spans="1:16" ht="51" x14ac:dyDescent="0.2">
      <c r="A323" s="25">
        <v>322</v>
      </c>
      <c r="B323" s="33" t="s">
        <v>489</v>
      </c>
      <c r="C323" s="25" t="s">
        <v>502</v>
      </c>
      <c r="D323" s="25" t="s">
        <v>33</v>
      </c>
      <c r="E323" s="25" t="s">
        <v>34</v>
      </c>
      <c r="M323" s="30" t="str" cm="1">
        <f t="array" ref="M323">PAGE_NAME(B323)</f>
        <v>CapabilityStatement-crd-client</v>
      </c>
      <c r="N323" s="30" t="str" cm="1">
        <f t="array" ref="N323">SECTION_NAME(B323)</f>
        <v/>
      </c>
      <c r="P323" s="27" t="s">
        <v>440</v>
      </c>
    </row>
    <row r="324" spans="1:16" ht="51" x14ac:dyDescent="0.2">
      <c r="A324" s="25">
        <v>323</v>
      </c>
      <c r="B324" s="33" t="s">
        <v>83</v>
      </c>
      <c r="C324" s="25" t="s">
        <v>504</v>
      </c>
      <c r="D324" s="25" t="s">
        <v>33</v>
      </c>
      <c r="E324" s="25" t="s">
        <v>34</v>
      </c>
      <c r="M324" s="30" t="str" cm="1">
        <f t="array" ref="M324">PAGE_NAME(B324)</f>
        <v>foundation</v>
      </c>
      <c r="N324" s="30" t="str" cm="1">
        <f t="array" ref="N324">SECTION_NAME(B324)</f>
        <v>crd-access-tokens</v>
      </c>
      <c r="P324" s="27" t="s">
        <v>445</v>
      </c>
    </row>
    <row r="325" spans="1:16" ht="17" x14ac:dyDescent="0.2">
      <c r="M325" s="30" t="str" cm="1">
        <f t="array" ref="M325">PAGE_NAME(B325)</f>
        <v/>
      </c>
      <c r="N325" s="30" t="str" cm="1">
        <f t="array" ref="N325">SECTION_NAME(B325)</f>
        <v/>
      </c>
    </row>
    <row r="326" spans="1:16" ht="17" x14ac:dyDescent="0.2">
      <c r="M326" s="30" t="str" cm="1">
        <f t="array" ref="M326">PAGE_NAME(B326)</f>
        <v/>
      </c>
      <c r="N326" s="30" t="str" cm="1">
        <f t="array" ref="N326">SECTION_NAME(B326)</f>
        <v/>
      </c>
    </row>
    <row r="327" spans="1:16" ht="17" x14ac:dyDescent="0.2">
      <c r="M327" s="30" t="str" cm="1">
        <f t="array" ref="M327">PAGE_NAME(B327)</f>
        <v/>
      </c>
      <c r="N327" s="30" t="str" cm="1">
        <f t="array" ref="N327">SECTION_NAME(B327)</f>
        <v/>
      </c>
    </row>
    <row r="328" spans="1:16" ht="17" x14ac:dyDescent="0.2">
      <c r="M328" s="30" t="str" cm="1">
        <f t="array" ref="M328">PAGE_NAME(B328)</f>
        <v/>
      </c>
      <c r="N328" s="30" t="str" cm="1">
        <f t="array" ref="N328">SECTION_NAME(B328)</f>
        <v/>
      </c>
    </row>
    <row r="329" spans="1:16" ht="17" x14ac:dyDescent="0.2">
      <c r="M329" s="30" t="str" cm="1">
        <f t="array" ref="M329">PAGE_NAME(B329)</f>
        <v/>
      </c>
      <c r="N329" s="30" t="str" cm="1">
        <f t="array" ref="N329">SECTION_NAME(B329)</f>
        <v/>
      </c>
    </row>
    <row r="330" spans="1:16" ht="17" x14ac:dyDescent="0.2">
      <c r="M330" s="30" t="str" cm="1">
        <f t="array" ref="M330">PAGE_NAME(B330)</f>
        <v/>
      </c>
      <c r="N330" s="30" t="str" cm="1">
        <f t="array" ref="N330">SECTION_NAME(B330)</f>
        <v/>
      </c>
    </row>
    <row r="331" spans="1:16" ht="17" x14ac:dyDescent="0.2">
      <c r="M331" s="30" t="str" cm="1">
        <f t="array" ref="M331">PAGE_NAME(B331)</f>
        <v/>
      </c>
      <c r="N331" s="30" t="str" cm="1">
        <f t="array" ref="N331">SECTION_NAME(B331)</f>
        <v/>
      </c>
    </row>
    <row r="332" spans="1:16" ht="17" x14ac:dyDescent="0.2">
      <c r="M332" s="30" t="str" cm="1">
        <f t="array" ref="M332">PAGE_NAME(B332)</f>
        <v/>
      </c>
      <c r="N332" s="30" t="str" cm="1">
        <f t="array" ref="N332">SECTION_NAME(B332)</f>
        <v/>
      </c>
    </row>
    <row r="333" spans="1:16" ht="17" x14ac:dyDescent="0.2">
      <c r="M333" s="30" t="str" cm="1">
        <f t="array" ref="M333">PAGE_NAME(B333)</f>
        <v/>
      </c>
      <c r="N333" s="30" t="str" cm="1">
        <f t="array" ref="N333">SECTION_NAME(B333)</f>
        <v/>
      </c>
    </row>
    <row r="334" spans="1:16" ht="17" x14ac:dyDescent="0.2">
      <c r="M334" s="30" t="str" cm="1">
        <f t="array" ref="M334">PAGE_NAME(B334)</f>
        <v/>
      </c>
      <c r="N334" s="30" t="str" cm="1">
        <f t="array" ref="N334">SECTION_NAME(B334)</f>
        <v/>
      </c>
    </row>
    <row r="335" spans="1:16" ht="17" x14ac:dyDescent="0.2">
      <c r="M335" s="30" t="str" cm="1">
        <f t="array" ref="M335">PAGE_NAME(B335)</f>
        <v/>
      </c>
      <c r="N335" s="30" t="str" cm="1">
        <f t="array" ref="N335">SECTION_NAME(B335)</f>
        <v/>
      </c>
    </row>
    <row r="336" spans="1:16"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B345" s="33"/>
      <c r="M345" s="30" t="str" cm="1">
        <f t="array" ref="M345">PAGE_NAME(B345)</f>
        <v/>
      </c>
      <c r="N345" s="30" t="str" cm="1">
        <f t="array" ref="N345">SECTION_NAME(B345)</f>
        <v/>
      </c>
    </row>
    <row r="346" spans="2:14" ht="17" x14ac:dyDescent="0.2">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sheetData>
  <autoFilter ref="A1:T433"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 ref="B313" r:id="rId262" xr:uid="{5A7044E4-ECC6-8346-910D-AA03F675DEC7}"/>
    <hyperlink ref="B316" r:id="rId263" xr:uid="{2FA4B1FA-85FD-AD4D-BEA5-6604BC45F12B}"/>
    <hyperlink ref="B314" r:id="rId264" location="mode1" xr:uid="{F4E24FAE-9A70-494A-B2FE-AAD9593C3236}"/>
    <hyperlink ref="B315" r:id="rId265" xr:uid="{0075B5F5-9BDE-E54B-BDA4-E62690EA943E}"/>
    <hyperlink ref="B317" r:id="rId266" xr:uid="{2A4FA271-3D53-DC4C-973D-015A52C5D891}"/>
    <hyperlink ref="B318" r:id="rId267" xr:uid="{97761A23-9D1E-7046-A0AA-9D2D1BBC7816}"/>
    <hyperlink ref="B319" r:id="rId268" xr:uid="{E985FC82-CF70-104C-96FF-8F6FCA25F8C0}"/>
    <hyperlink ref="B320" r:id="rId269" xr:uid="{4970B588-B14E-EC4E-BA9F-F56016F887CD}"/>
    <hyperlink ref="B321" r:id="rId270" xr:uid="{97C55971-E2C3-7244-81CA-BD37FB24BFA3}"/>
    <hyperlink ref="B322" r:id="rId271" xr:uid="{43BF7D95-9CEA-1040-9742-52552CCADCCF}"/>
    <hyperlink ref="B323" r:id="rId272" xr:uid="{18B2CDF4-D33C-B14E-A306-E6D686E42A3C}"/>
    <hyperlink ref="B324" r:id="rId273" location="crd-access-tokens" xr:uid="{B501E1B5-4CEF-F54F-B165-9093BF92BC2D}"/>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G2:G296 G298:G1048576</xm:sqref>
        </x14:dataValidation>
        <x14:dataValidation type="list" allowBlank="1" showInputMessage="1" showErrorMessage="1" xr:uid="{4866B9BF-5615-6646-965F-909D4D65F2A5}">
          <x14:formula1>
            <xm:f>'Column Data'!$A$2:$A$7</xm:f>
          </x14:formula1>
          <xm:sqref>D2:D296 D298:D1048576</xm:sqref>
        </x14:dataValidation>
        <x14:dataValidation type="list" allowBlank="1" showInputMessage="1" showErrorMessage="1" xr:uid="{F4FB27A2-804E-CB49-B85C-BBEE0C688B4F}">
          <x14:formula1>
            <xm:f>'Column Data'!$D$2:$D$4</xm:f>
          </x14:formula1>
          <xm:sqref>K2:K296 I2:I296 I298:I1048576 K298:K1048576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Props1.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2.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2026-01-09T12:13:10Z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