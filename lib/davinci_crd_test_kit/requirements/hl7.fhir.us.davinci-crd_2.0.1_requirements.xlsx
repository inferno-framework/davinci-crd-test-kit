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902D4EC5-DE23-B445-BB2D-4C749561019A}" xr6:coauthVersionLast="47" xr6:coauthVersionMax="47" xr10:uidLastSave="{00000000-0000-0000-0000-000000000000}"/>
  <bookViews>
    <workbookView xWindow="160" yWindow="920" windowWidth="3424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Requirements!$A$1:$T$433</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23" i="5" l="1"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M243" i="5"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6" i="5" a="1"/>
  <c r="N316" i="5" s="1"/>
  <c r="N314" i="5" a="1"/>
  <c r="N314" i="5" s="1"/>
  <c r="N315" i="5" a="1"/>
  <c r="N315"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6" i="5" a="1"/>
  <c r="M316" i="5" s="1"/>
  <c r="M314" i="5" a="1"/>
  <c r="M314" i="5" s="1"/>
  <c r="M315" i="5" a="1"/>
  <c r="M315"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<sst xmlns="http://schemas.openxmlformats.org/spreadsheetml/2006/main" count="1578" uniqueCount="504">
  <si>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</si>
  <si>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</si>
  <si>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</si>
  <si>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</si>
  <si>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</si>
  <si>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</si>
  <si>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</si>
  <si>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</si>
  <si>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</si>
  <si>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</si>
  <si>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</si>
  <si>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</si>
  <si>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</si>
  <si>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</si>
  <si>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</si>
  <si>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</si>
  <si>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</si>
  <si>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</si>
  <si>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</si>
  <si>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</si>
  <si>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</si>
  <si>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</si>
  <si>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</si>
  <si>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</si>
  <si>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</si>
  <si>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</si>
  <si>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</si>
  <si>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</si>
  <si>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</si>
  <si>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</si>
  <si>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</si>
  <si>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</si>
  <si>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</si>
  <si>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</si>
  <si>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</si>
  <si>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</si>
  <si>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</si>
  <si>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</si>
  <si>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</si>
  <si>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</si>
  <si>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</si>
  <si>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</si>
  <si>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</si>
  <si>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</si>
  <si>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</si>
  <si>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</si>
  <si>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</si>
  <si>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</si>
  <si>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</si>
  <si>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</si>
  <si>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</si>
  <si>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</si>
  <si>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</si>
  <si>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</si>
  <si>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</si>
  <si>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</si>
  <si>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</si>
  <si>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</si>
  <si>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</si>
  <si>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</si>
  <si>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</si>
  <si>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</si>
  <si>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</si>
  <si>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</si>
  <si>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</si>
  <si>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</si>
  <si>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</si>
  <si>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</si>
  <si>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</si>
  <si>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</si>
  <si>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</si>
  <si>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</si>
  <si>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</si>
  <si>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</si>
  <si>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</si>
  <si>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</si>
  <si>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</si>
  <si>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</si>
  <si>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</si>
  <si>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</si>
  <si>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</si>
  <si>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</si>
  <si>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</si>
  <si>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</si>
  <si>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</si>
  <si>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</si>
  <si>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</si>
  <si>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</si>
  <si>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</si>
  <si>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</si>
  <si>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</si>
  <si>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</si>
  <si>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</si>
  <si>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</si>
  <si>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</si>
  <si>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</si>
  <si>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</si>
  <si>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</si>
  <si>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</si>
  <si>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</si>
  <si>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</si>
  <si>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</si>
  <si>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</si>
  <si>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</si>
  <si>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</si>
  <si>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</si>
  <si>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</si>
  <si>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</si>
  <si>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</si>
  <si>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</si>
  <si>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</si>
  <si>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</si>
  <si>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</si>
  <si>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</si>
  <si>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</si>
  <si>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</si>
  <si>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</si>
  <si>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</si>
  <si>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</si>
  <si>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</si>
  <si>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</si>
  <si>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</si>
  <si>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</si>
  <si>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</si>
  <si>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</si>
  <si>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</si>
  <si>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</si>
  <si>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</si>
  <si>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</si>
  <si>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</si>
  <si>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</si>
  <si>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</si>
  <si>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</si>
  <si>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</si>
  <si>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</si>
  <si>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</si>
  <si>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</si>
  <si>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</si>
  <si>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</si>
  <si>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</si>
  <si>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</si>
  <si>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</si>
  <si>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</si>
  <si>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</si>
  <si>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</si>
  <si>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</si>
  <si>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</si>
  <si>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</si>
  <si>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</si>
  <si>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</si>
  <si>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</si>
  <si>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</si>
  <si>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</si>
  <si>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</si>
  <si>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</si>
  <si>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</si>
  <si>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</si>
  <si>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</si>
  <si>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</si>
  <si>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</si>
  <si>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</si>
  <si>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</si>
  <si>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</si>
  <si>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</si>
  <si>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</si>
  <si>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</si>
  <si>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</si>
  <si>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</si>
  <si>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</si>
  <si>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</si>
  <si>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</si>
  <si>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</si>
  <si>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</si>
  <si>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</si>
  <si>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</si>
  <si>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</si>
  <si>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</si>
  <si>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</si>
  <si>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</si>
  <si>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</si>
  <si>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</si>
  <si>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</si>
  <si>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</si>
  <si>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</si>
  <si>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</si>
  <si>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</si>
  <si>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</si>
  <si>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</si>
  <si>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</si>
  <si>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</si>
  <si>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</si>
  <si>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</si>
  <si>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</si>
  <si>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</si>
  <si>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</si>
  <si>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</si>
  <si>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</si>
  <si>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</si>
  <si>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</si>
  <si>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</si>
  <si>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</si>
  <si>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</si>
  <si>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</si>
  <si>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</si>
  <si>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</si>
  <si>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</si>
  <si>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</si>
  <si>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</si>
  <si>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</si>
  <si>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</si>
  <si>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</si>
  <si>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</si>
  <si>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</si>
  <si>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</si>
  <si>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</si>
  <si>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</si>
  <si>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</si>
  <si>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</si>
  <si>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</si>
  <si>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</si>
  <si>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</si>
  <si>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</si>
  <si>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</si>
  <si>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</si>
  <si>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</si>
  <si>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</si>
  <si>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</si>
  <si>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</si>
  <si>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</si>
  <si>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</si>
  <si>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</si>
  <si>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</si>
  <si>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</si>
  <si>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</si>
  <si>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</si>
  <si>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</si>
  <si>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</si>
  <si>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</si>
  <si>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</si>
  <si>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</si>
  <si>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</si>
  <si>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</si>
  <si>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</si>
  <si>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</si>
  <si>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</si>
  <si>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</si>
  <si>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</si>
  <si>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</si>
  <si>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</si>
  <si>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</si>
  <si>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</si>
  <si>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</si>
  <si>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</si>
  <si>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</si>
  <si>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</si>
  <si>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</si>
  <si>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</si>
  <si>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</si>
  <si>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</si>
  <si>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</si>
  <si>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</si>
  <si>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</si>
  <si>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</si>
  <si>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</si>
  <si>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</si>
  <si>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</si>
  <si>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</si>
  <si>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</si>
  <si>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</si>
  <si>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</si>
  <si>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</si>
  <si>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</si>
  <si>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</si>
  <si>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</si>
  <si>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</si>
  <si>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</si>
  <si>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</si>
  <si>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</si>
  <si>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</si>
  <si>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</si>
  <si>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</si>
  <si>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</si>
  <si>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</si>
  <si>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</si>
  <si>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</si>
  <si>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</si>
  <si>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</si>
  <si>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</si>
  <si>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</si>
  <si>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</si>
  <si>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</si>
  <si>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</si>
  <si>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</si>
  <si>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</si>
  <si>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</si>
  <si>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</si>
  <si>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</si>
  <si>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</si>
  <si>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</si>
  <si>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</si>
  <si>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</si>
  <si>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</si>
  <si>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</si>
  <si>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</si>
  <si>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</si>
  <si>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</si>
  <si>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</si>
  <si>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</si>
  <si>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</si>
  <si>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</si>
  <si>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</si>
  <si>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</si>
  <si>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</si>
  <si>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</si>
  <si>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</si>
  <si>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</si>
  <si>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</si>
  <si>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</si>
  <si>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</si>
  <si>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</si>
  <si>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</si>
  <si>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</si>
  <si>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</si>
  <si>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</si>
  <si>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</si>
  <si>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</si>
  <si>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</si>
  <si>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</si>
  <si>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</si>
  <si>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</si>
  <si>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</si>
  <si>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</si>
  <si>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</si>
  <si>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</si>
  <si>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</si>
  <si>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</si>
  <si>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</si>
  <si>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</si>
  <si>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</si>
  <si>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</si>
  <si>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</si>
  <si>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</si>
  <si>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</si>
  <si>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</si>
  <si>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</si>
  <si>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</si>
  <si>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</si>
  <si>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</si>
  <si>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</si>
  <si>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</si>
  <si>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</si>
  <si>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</si>
  <si>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</si>
  <si>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</si>
  <si>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</si>
  <si>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</si>
  <si>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</si>
  <si>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</si>
  <si>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</si>
  <si>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</si>
  <si>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</si>
  <si>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</si>
  <si>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</si>
  <si>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</si>
  <si>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</si>
  <si>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</si>
  <si>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</si>
  <si>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</si>
  <si>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</si>
  <si>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</si>
  <si>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</si>
  <si>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</si>
  <si>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</si>
  <si>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</si>
  <si>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</si>
  <si>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</si>
  <si>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</si>
  <si>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</si>
  <si>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</si>
  <si>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</si>
  <si>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</si>
  <si>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</si>
  <si>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</si>
  <si>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</si>
  <si>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</si>
  <si>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</si>
  <si>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</si>
  <si>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</si>
  <si>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</si>
  <si>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</si>
  <si>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</si>
  <si>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</si>
  <si>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</si>
  <si>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</si>
  <si>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</si>
  <si>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</si>
  <si>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</si>
  <si>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</si>
  <si>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</si>
  <si>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</si>
  <si>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</si>
  <si>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</si>
  <si>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</si>
  <si>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</si>
  <si>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</si>
  <si>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</si>
  <si>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</si>
  <si>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</si>
  <si>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</si>
  <si>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</si>
  <si>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</si>
  <si>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</si>
  <si>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</si>
  <si>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</si>
  <si>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</si>
  <si>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</si>
  <si>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</si>
  <si>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</si>
  <si>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</si>
  <si>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</si>
  <si>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</si>
  <si>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</si>
  <si>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</si>
  <si>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</si>
  <si>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</si>
  <si>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</si>
  <si>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</si>
  <si>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</si>
  <si>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</si>
  <si>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</si>
  <si>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</si>
  <si>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</si>
  <si>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</si>
  <si>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</si>
  <si>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</si>
  <si>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</si>
  <si>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</si>
  <si>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</si>
  <si>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</si>
  <si>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</si>
  <si>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</si>
  <si>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</si>
  <si>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</si>
  <si>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</si>
  <si>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</si>
  <si>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</si>
  <si>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</si>
  <si>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</si>
  <si>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</si>
  <si>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</si>
  <si>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</si>
  <si>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</si>
  <si>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</si>
  <si>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</si>
  <si>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</si>
  <si>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</si>
  <si>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</si>
  <si>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</si>
  <si>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</si>
  <si>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</si>
  <si>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</si>
  <si>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</si>
  <si>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</si>
  <si>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</si>
  <si>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</si>
  <si>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</si>
  <si>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</si>
  <si>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</si>
  <si>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</si>
  <si>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</si>
  <si>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</si>
  <si>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</si>
  <si>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</si>
  <si>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</si>
  <si>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</si>
  <si>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</si>
  <si>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</si>
  <si>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</si>
  <si>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</si>
  <si>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</si>
  <si>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encounterId … are … [profile-encounter](https://hl7.org/fhir/us/davinci-crd/STU2/StructureDefinition-profile-encounter.html)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</si>
  <si>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</si>
  <si>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</si>
  <si>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While this [[appointment-book](https://cds-hooks.hl7.org/hooks/appointment-book/2023SepSTU1Ballot/appointment-book/)] hook supports userIds of Patient and RelatedPerson, for CRD purposes it is enough to support Practitioner and PractitionerRole. [For the appointment-book hook] support for Patient and RelatedPerson as users is optional [([published v1.0 link](https://cds-hooks.hl7.org/hooks/appointment-book/STU1/appointment-book/))]</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</si>
  <si>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</si>
  <si>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t>[For the appointment-book hook t]he profiles expected to be used for the resources resolved to by the … patientId … are … [profile-patient](https://hl7.org/fhir/us/davinci-crd/STU2/StructureDefinition-profile-patient.html)</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</si>
  <si>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</si>
  <si>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</si>
  <si>
    <t>Deprecated because this is an explanation of what implementers need to do internally to accomplish requirements, for example, adding coverage-information extensions to provided orders (See equirements 278 and 280)</t>
  </si>
  <si>
    <t>https://hl7.org/fhir/us/davinci-crd/STU2/CapabilityStatement-crd-client.html</t>
  </si>
  <si>
    <t>the CRD Client SHALL support all ‘SHOULD’ ‘read’ and ‘search’ capabilities listed below for resources referenced in supported hooks and order types if it does not support returning the associated resources as part of CDS Hooks pre-fetch.</t>
  </si>
  <si>
    <t>Implementations SHALL meet the general security requirements documented in the [HRex implementation guide](http://hl7.org/fhir/us/davinci-hrex/STU1/security.html)</t>
  </si>
  <si>
    <t>https://hl7.org/fhir/us/davinci-crd/STU2/CapabilityStatement-crd-client.html#mode1</t>
  </si>
  <si>
    <t>If the client supports DTR</t>
  </si>
  <si>
    <t>[CRD Clients SHALL also implement the US Core Server Capability Statement imported by this CapabilityStatement]</t>
  </si>
  <si>
    <t>The CRD Client SHALL also support ‘update’ functionality for [the Appointment resource type when] the client allows invoking [the appointment-book hook].</t>
  </si>
  <si>
    <t>The CRD Client SHALL also support ‘update’ functionality for [the Encounter resource type when] the client allows invoking [the encounter-start or encounter-discharge hook].</t>
  </si>
  <si>
    <t>The CRD Client SHALL also support ‘update’ functionality for [the DeviceRequest resource type when] the client allows invoking [the order-dispatch, order-select, or order-sign hook].</t>
  </si>
  <si>
    <t>The CRD Client SHALL also support ‘update’ functionality for [the CommunicationRequest resource type when] the client allows invoking [the order-dispatch, order-select, or order-sign hook].</t>
  </si>
  <si>
    <t>The CRD Client SHALL also support ‘update’ functionality for [the MedicationRequest resource type when] the client allows invoking [the order-dispatch, order-select, or order-sign hook].</t>
  </si>
  <si>
    <t>The CRD Client SHALL also support ‘update’ functionality for [the NutritionOrder resource type when] the client allows invoking [the order-dispatch, order-select, or order-sign hook].</t>
  </si>
  <si>
    <t>The CRD Client SHALL also support ‘update’ functionality for [the ServiceRequest resource type when] the client allows invoking [the order-dispatch, order-select, or order-sign hook].</t>
  </si>
  <si>
    <t>The CRD Client SHALL also support ‘update’ functionality for [the VisionPrescription resource type when] the client allows invoking [the order-dispatch, order-select, or order-sign hook].</t>
  </si>
  <si>
    <t>This only adds a few capabilities beyond what is already in US Core starting with 3.1.1:
- Coverage search doesn't get required by US Core until US Core 6
- Coverage search by status not required by US Core
- Encounter search by location (with patient) required by US Core starting in US Core 5
- PractitionerRole search by organization and id not required by US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</si>
</sst>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226" Type="http://schemas.openxmlformats.org/officeDocument/2006/relationships/hyperlink" Target="https://hl7.org/fhir/us/davinci-crd/STU2/cards.html" TargetMode="External"/><Relationship Id="rId268" Type="http://schemas.openxmlformats.org/officeDocument/2006/relationships/hyperlink" Target="https://hl7.org/fhir/us/davinci-crd/STU2/CapabilityStatement-crd-client.html" TargetMode="External"/><Relationship Id="rId11" Type="http://schemas.openxmlformats.org/officeDocument/2006/relationships/hyperlink" Target="https://hl7.org/fhir/us/davinci-crd/STU2/foundation.html" TargetMode="External"/><Relationship Id="rId32"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149" Type="http://schemas.openxmlformats.org/officeDocument/2006/relationships/hyperlink" Target="https://hl7.org/fhir/us/davinci-crd/STU2/card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269" Type="http://schemas.openxmlformats.org/officeDocument/2006/relationships/hyperlink" Target="https://hl7.org/fhir/us/davinci-crd/STU2/CapabilityStatement-crd-client.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270" Type="http://schemas.openxmlformats.org/officeDocument/2006/relationships/hyperlink" Target="https://hl7.org/fhir/us/davinci-crd/STU2/CapabilityStatement-crd-client.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71" Type="http://schemas.openxmlformats.org/officeDocument/2006/relationships/hyperlink" Target="https://hl7.org/fhir/us/davinci-crd/STU2/CapabilityStatement-crd-client.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272" Type="http://schemas.openxmlformats.org/officeDocument/2006/relationships/hyperlink" Target="https://hl7.org/fhir/us/davinci-crd/STU2/CapabilityStatement-crd-client.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262" Type="http://schemas.openxmlformats.org/officeDocument/2006/relationships/hyperlink" Target="https://hl7.org/fhir/us/davinci-crd/STU2/CapabilityStatement-crd-client.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263" Type="http://schemas.openxmlformats.org/officeDocument/2006/relationships/hyperlink" Target="https://hl7.org/fhir/us/davinci-crd/STU2/CapabilityStatement-crd-client.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264" Type="http://schemas.openxmlformats.org/officeDocument/2006/relationships/hyperlink" Target="https://hl7.org/fhir/us/davinci-crd/STU2/CapabilityStatement-crd-client.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265" Type="http://schemas.openxmlformats.org/officeDocument/2006/relationships/hyperlink" Target="https://hl7.org/fhir/us/davinci-crd/STU2/CapabilityStatement-crd-client.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266" Type="http://schemas.openxmlformats.org/officeDocument/2006/relationships/hyperlink" Target="https://hl7.org/fhir/us/davinci-crd/STU2/CapabilityStatement-crd-client.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267" Type="http://schemas.openxmlformats.org/officeDocument/2006/relationships/hyperlink" Target="https://hl7.org/fhir/us/davinci-crd/STU2/CapabilityStatement-crd-client.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410</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3"/>
  <sheetViews>
    <sheetView tabSelected="1" zoomScale="120" zoomScaleNormal="120" workbookViewId="0">
      <pane xSplit="5" ySplit="1" topLeftCell="F311" activePane="bottomRight" state="frozen"/>
      <selection pane="topRight" activeCell="I1" sqref="I1"/>
      <selection pane="bottomLeft" activeCell="A2" sqref="A2"/>
      <selection pane="bottomRight" activeCell="T316" sqref="T316"/>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411</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440</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413</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418</v>
      </c>
      <c r="M22" s="30" t="str" cm="1">
        <f t="array" ref="M22">PAGE_NAME(B22)</f>
        <v>foundation</v>
      </c>
      <c r="N22" s="30" t="s">
        <v>41</v>
      </c>
      <c r="P22" s="27" t="s">
        <v>441</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442</v>
      </c>
    </row>
    <row r="32" spans="1:16" ht="68" x14ac:dyDescent="0.2">
      <c r="A32" s="25">
        <v>31</v>
      </c>
      <c r="B32" s="33" t="s">
        <v>71</v>
      </c>
      <c r="C32" s="25" t="s">
        <v>77</v>
      </c>
      <c r="D32" s="25" t="s">
        <v>33</v>
      </c>
      <c r="E32" s="25" t="s">
        <v>34</v>
      </c>
      <c r="M32" s="30" t="str" cm="1">
        <f t="array" ref="M32">PAGE_NAME(B32)</f>
        <v>foundation</v>
      </c>
      <c r="N32" s="30" t="s">
        <v>73</v>
      </c>
      <c r="P32" s="27" t="s">
        <v>442</v>
      </c>
    </row>
    <row r="33" spans="1:16" ht="68" x14ac:dyDescent="0.2">
      <c r="A33" s="25">
        <v>32</v>
      </c>
      <c r="B33" s="33" t="s">
        <v>71</v>
      </c>
      <c r="C33" s="25" t="s">
        <v>78</v>
      </c>
      <c r="D33" s="25" t="s">
        <v>33</v>
      </c>
      <c r="E33" s="25" t="s">
        <v>34</v>
      </c>
      <c r="M33" s="30" t="str" cm="1">
        <f t="array" ref="M33">PAGE_NAME(B33)</f>
        <v>foundation</v>
      </c>
      <c r="N33" s="30" t="s">
        <v>73</v>
      </c>
      <c r="P33" s="27" t="s">
        <v>442</v>
      </c>
    </row>
    <row r="34" spans="1:16" ht="68" x14ac:dyDescent="0.2">
      <c r="A34" s="25">
        <v>33</v>
      </c>
      <c r="B34" s="33" t="s">
        <v>71</v>
      </c>
      <c r="C34" s="25" t="s">
        <v>79</v>
      </c>
      <c r="D34" s="25" t="s">
        <v>33</v>
      </c>
      <c r="E34" s="25" t="s">
        <v>34</v>
      </c>
      <c r="M34" s="30" t="str" cm="1">
        <f t="array" ref="M34">PAGE_NAME(B34)</f>
        <v>foundation</v>
      </c>
      <c r="N34" s="30" t="s">
        <v>73</v>
      </c>
      <c r="P34" s="27" t="s">
        <v>442</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409</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440</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443</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414</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444</v>
      </c>
    </row>
    <row r="66" spans="1:20" ht="68" x14ac:dyDescent="0.2">
      <c r="A66" s="25">
        <v>65</v>
      </c>
      <c r="B66" s="33" t="s">
        <v>120</v>
      </c>
      <c r="C66" s="25" t="s">
        <v>123</v>
      </c>
      <c r="D66" s="25" t="s">
        <v>33</v>
      </c>
      <c r="E66" s="25" t="s">
        <v>34</v>
      </c>
      <c r="N66" s="30" t="s">
        <v>122</v>
      </c>
      <c r="P66" s="27" t="s">
        <v>444</v>
      </c>
    </row>
    <row r="67" spans="1:20" ht="85" x14ac:dyDescent="0.2">
      <c r="A67" s="25">
        <v>66</v>
      </c>
      <c r="B67" s="33" t="s">
        <v>120</v>
      </c>
      <c r="C67" s="25" t="s">
        <v>124</v>
      </c>
      <c r="D67" s="25" t="s">
        <v>33</v>
      </c>
      <c r="E67" s="25" t="s">
        <v>34</v>
      </c>
      <c r="N67" s="30" t="s">
        <v>122</v>
      </c>
      <c r="P67" s="27" t="s">
        <v>444</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444</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445</v>
      </c>
    </row>
    <row r="73" spans="1:20" ht="68" x14ac:dyDescent="0.2">
      <c r="A73" s="25">
        <v>72</v>
      </c>
      <c r="B73" s="33" t="s">
        <v>130</v>
      </c>
      <c r="C73" s="25" t="s">
        <v>133</v>
      </c>
      <c r="D73" s="25" t="s">
        <v>33</v>
      </c>
      <c r="E73" s="25" t="s">
        <v>34</v>
      </c>
      <c r="N73" s="30" t="s">
        <v>132</v>
      </c>
      <c r="P73" s="27" t="s">
        <v>445</v>
      </c>
    </row>
    <row r="74" spans="1:20" ht="102" x14ac:dyDescent="0.2">
      <c r="A74" s="25">
        <v>73</v>
      </c>
      <c r="B74" s="33" t="s">
        <v>130</v>
      </c>
      <c r="C74" s="25" t="s">
        <v>134</v>
      </c>
      <c r="D74" s="25" t="s">
        <v>206</v>
      </c>
      <c r="E74" s="25" t="s">
        <v>34</v>
      </c>
      <c r="M74" s="30" t="str" cm="1">
        <f t="array" ref="M74">PAGE_NAME(B74)</f>
        <v>foundation</v>
      </c>
      <c r="N74" s="30" t="s">
        <v>132</v>
      </c>
      <c r="P74" s="27" t="s">
        <v>445</v>
      </c>
      <c r="T74" s="27" t="s">
        <v>451</v>
      </c>
    </row>
    <row r="75" spans="1:20" ht="102" x14ac:dyDescent="0.2">
      <c r="A75" s="25">
        <v>74</v>
      </c>
      <c r="B75" s="33" t="s">
        <v>130</v>
      </c>
      <c r="C75" s="25" t="s">
        <v>135</v>
      </c>
      <c r="D75" s="25" t="s">
        <v>206</v>
      </c>
      <c r="E75" s="25" t="s">
        <v>34</v>
      </c>
      <c r="P75" s="27" t="s">
        <v>445</v>
      </c>
      <c r="T75" s="27" t="s">
        <v>451</v>
      </c>
    </row>
    <row r="76" spans="1:20" ht="136" x14ac:dyDescent="0.2">
      <c r="A76" s="25">
        <v>75</v>
      </c>
      <c r="B76" s="33" t="s">
        <v>130</v>
      </c>
      <c r="C76" s="25" t="s">
        <v>136</v>
      </c>
      <c r="D76" s="25" t="s">
        <v>33</v>
      </c>
      <c r="E76" s="25" t="s">
        <v>34</v>
      </c>
      <c r="M76" s="30" t="str" cm="1">
        <f t="array" ref="M76">PAGE_NAME(B76)</f>
        <v>foundation</v>
      </c>
      <c r="N76" s="30" t="s">
        <v>132</v>
      </c>
      <c r="P76" s="27" t="s">
        <v>446</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446</v>
      </c>
    </row>
    <row r="80" spans="1:20" ht="51" x14ac:dyDescent="0.2">
      <c r="A80" s="25">
        <v>79</v>
      </c>
      <c r="B80" s="33" t="s">
        <v>130</v>
      </c>
      <c r="C80" s="25" t="s">
        <v>140</v>
      </c>
      <c r="D80" s="25" t="s">
        <v>33</v>
      </c>
      <c r="E80" s="25" t="s">
        <v>29</v>
      </c>
      <c r="M80" s="30" t="str" cm="1">
        <f t="array" ref="M80">PAGE_NAME(B80)</f>
        <v>foundation</v>
      </c>
      <c r="N80" s="30" t="s">
        <v>132</v>
      </c>
      <c r="P80" s="27" t="s">
        <v>446</v>
      </c>
    </row>
    <row r="81" spans="1:20" ht="51" x14ac:dyDescent="0.2">
      <c r="A81" s="25">
        <v>80</v>
      </c>
      <c r="B81" s="33" t="s">
        <v>130</v>
      </c>
      <c r="C81" s="25" t="s">
        <v>141</v>
      </c>
      <c r="D81" s="25" t="s">
        <v>33</v>
      </c>
      <c r="E81" s="25" t="s">
        <v>29</v>
      </c>
      <c r="M81" s="30" t="str" cm="1">
        <f t="array" ref="M81">PAGE_NAME(B81)</f>
        <v>foundation</v>
      </c>
      <c r="N81" s="30" t="s">
        <v>132</v>
      </c>
      <c r="P81" s="27" t="s">
        <v>446</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447</v>
      </c>
    </row>
    <row r="85" spans="1:20" ht="51" x14ac:dyDescent="0.2">
      <c r="A85" s="25">
        <v>84</v>
      </c>
      <c r="B85" s="33" t="s">
        <v>144</v>
      </c>
      <c r="C85" s="25" t="s">
        <v>146</v>
      </c>
      <c r="D85" s="25" t="s">
        <v>33</v>
      </c>
      <c r="E85" s="25" t="s">
        <v>29</v>
      </c>
      <c r="P85" s="27" t="s">
        <v>447</v>
      </c>
    </row>
    <row r="86" spans="1:20" ht="68" x14ac:dyDescent="0.2">
      <c r="A86" s="25">
        <v>85</v>
      </c>
      <c r="B86" s="33" t="s">
        <v>144</v>
      </c>
      <c r="C86" s="25" t="s">
        <v>147</v>
      </c>
      <c r="D86" s="25" t="s">
        <v>33</v>
      </c>
      <c r="E86" s="25" t="s">
        <v>29</v>
      </c>
      <c r="P86" s="27" t="s">
        <v>447</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447</v>
      </c>
      <c r="T87" s="27" t="s">
        <v>408</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447</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447</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447</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408</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447</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447</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447</v>
      </c>
      <c r="T101" s="27" t="s">
        <v>408</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448</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5"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443</v>
      </c>
      <c r="T133" s="27" t="s">
        <v>415</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443</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417</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449</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449</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449</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445</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445</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445</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445</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445</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445</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445</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407</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465</v>
      </c>
      <c r="N171" s="30" t="str" cm="1">
        <f t="array" ref="N171">SECTION_NAME(B172)</f>
        <v>appointment-book</v>
      </c>
    </row>
    <row r="172" spans="1:16" ht="51" x14ac:dyDescent="0.2">
      <c r="A172" s="25">
        <v>171</v>
      </c>
      <c r="B172" s="33" t="s">
        <v>248</v>
      </c>
      <c r="C172" s="25" t="s">
        <v>250</v>
      </c>
      <c r="D172" s="25" t="s">
        <v>33</v>
      </c>
      <c r="E172" s="25" t="s">
        <v>34</v>
      </c>
      <c r="F172" s="25" t="s">
        <v>466</v>
      </c>
      <c r="N172" s="30" t="str" cm="1">
        <f t="array" ref="N172">SECTION_NAME(B173)</f>
        <v>appointment-book</v>
      </c>
      <c r="P172" s="27" t="s">
        <v>452</v>
      </c>
    </row>
    <row r="173" spans="1:16" ht="136" x14ac:dyDescent="0.2">
      <c r="A173" s="25">
        <v>172</v>
      </c>
      <c r="B173" s="33" t="s">
        <v>248</v>
      </c>
      <c r="C173" s="25" t="s">
        <v>251</v>
      </c>
      <c r="D173" s="25" t="s">
        <v>33</v>
      </c>
      <c r="E173" s="25" t="s">
        <v>34</v>
      </c>
      <c r="N173" s="30" t="str" cm="1">
        <f t="array" ref="N173">SECTION_NAME(B174)</f>
        <v>appointment-book</v>
      </c>
      <c r="P173" s="27" t="s">
        <v>452</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486</v>
      </c>
      <c r="D178" s="25" t="s">
        <v>33</v>
      </c>
      <c r="E178" s="25" t="s">
        <v>34</v>
      </c>
      <c r="N178" s="30" t="str" cm="1">
        <f t="array" ref="N178">SECTION_NAME(B179)</f>
        <v>appointment-book</v>
      </c>
      <c r="P178" s="27" t="s">
        <v>452</v>
      </c>
    </row>
    <row r="179" spans="1:21" ht="68" x14ac:dyDescent="0.2">
      <c r="A179" s="25">
        <v>178</v>
      </c>
      <c r="B179" s="33" t="s">
        <v>248</v>
      </c>
      <c r="C179" s="25" t="s">
        <v>485</v>
      </c>
      <c r="D179" s="25" t="s">
        <v>33</v>
      </c>
      <c r="E179" s="25" t="s">
        <v>34</v>
      </c>
      <c r="N179" s="30" t="str" cm="1">
        <f t="array" ref="N179">SECTION_NAME(B180)</f>
        <v>appointment-book</v>
      </c>
      <c r="P179" s="27" t="s">
        <v>452</v>
      </c>
    </row>
    <row r="180" spans="1:21" ht="68" x14ac:dyDescent="0.2">
      <c r="A180" s="25">
        <v>179</v>
      </c>
      <c r="B180" s="33" t="s">
        <v>248</v>
      </c>
      <c r="C180" s="25" t="s">
        <v>484</v>
      </c>
      <c r="D180" s="25" t="s">
        <v>33</v>
      </c>
      <c r="E180" s="25" t="s">
        <v>34</v>
      </c>
      <c r="N180" s="30" t="str" cm="1">
        <f t="array" ref="N180">SECTION_NAME(B181)</f>
        <v>appointment-book</v>
      </c>
      <c r="P180" s="27" t="s">
        <v>452</v>
      </c>
    </row>
    <row r="181" spans="1:21" ht="68" x14ac:dyDescent="0.2">
      <c r="A181" s="25">
        <v>180</v>
      </c>
      <c r="B181" s="33" t="s">
        <v>248</v>
      </c>
      <c r="C181" s="25" t="s">
        <v>487</v>
      </c>
      <c r="D181" s="25" t="s">
        <v>33</v>
      </c>
      <c r="E181" s="25" t="s">
        <v>34</v>
      </c>
      <c r="N181" s="30" t="str" cm="1">
        <f t="array" ref="N181">SECTION_NAME(B182)</f>
        <v>appointment-book</v>
      </c>
      <c r="P181" s="27" t="s">
        <v>452</v>
      </c>
    </row>
    <row r="182" spans="1:21" ht="153" x14ac:dyDescent="0.2">
      <c r="A182" s="25">
        <v>181</v>
      </c>
      <c r="B182" s="33" t="s">
        <v>248</v>
      </c>
      <c r="C182" s="25" t="s">
        <v>483</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256</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257</v>
      </c>
      <c r="D184" s="25" t="s">
        <v>33</v>
      </c>
      <c r="E184" s="25" t="s">
        <v>34</v>
      </c>
      <c r="M184" s="30" t="str" cm="1">
        <f t="array" ref="M184">PAGE_NAME(B184)</f>
        <v>hooks</v>
      </c>
      <c r="N184" s="30" t="str" cm="1">
        <f t="array" ref="N184">SECTION_NAME(B184)</f>
        <v>appointment-book</v>
      </c>
      <c r="P184" s="27" t="s">
        <v>452</v>
      </c>
    </row>
    <row r="185" spans="1:21" ht="102" x14ac:dyDescent="0.2">
      <c r="A185" s="25">
        <v>184</v>
      </c>
      <c r="B185" s="33" t="s">
        <v>248</v>
      </c>
      <c r="C185" s="25" t="s">
        <v>258</v>
      </c>
      <c r="D185" s="25" t="s">
        <v>33</v>
      </c>
      <c r="E185" s="25" t="s">
        <v>38</v>
      </c>
      <c r="M185" s="30" t="str" cm="1">
        <f t="array" ref="M185">PAGE_NAME(B185)</f>
        <v>hooks</v>
      </c>
      <c r="N185" s="30" t="str" cm="1">
        <f t="array" ref="N185">SECTION_NAME(B185)</f>
        <v>appointment-book</v>
      </c>
    </row>
    <row r="186" spans="1:21" ht="85" x14ac:dyDescent="0.2">
      <c r="A186" s="25">
        <v>185</v>
      </c>
      <c r="B186" s="33" t="s">
        <v>259</v>
      </c>
      <c r="C186" s="25" t="s">
        <v>260</v>
      </c>
      <c r="D186" s="25" t="s">
        <v>33</v>
      </c>
      <c r="E186" s="25" t="s">
        <v>38</v>
      </c>
      <c r="F186" s="25" t="s">
        <v>467</v>
      </c>
      <c r="N186" s="30" t="str" cm="1">
        <f t="array" ref="N186">SECTION_NAME(B186)</f>
        <v>encounter-start</v>
      </c>
      <c r="U186" s="32"/>
    </row>
    <row r="187" spans="1:21" ht="85" x14ac:dyDescent="0.2">
      <c r="A187" s="25">
        <v>186</v>
      </c>
      <c r="B187" s="33" t="s">
        <v>259</v>
      </c>
      <c r="C187" s="25" t="s">
        <v>261</v>
      </c>
      <c r="D187" s="25" t="s">
        <v>33</v>
      </c>
      <c r="E187" s="25" t="s">
        <v>34</v>
      </c>
      <c r="F187" s="25" t="s">
        <v>468</v>
      </c>
      <c r="N187" s="30" t="str" cm="1">
        <f t="array" ref="N187">SECTION_NAME(B187)</f>
        <v>encounter-start</v>
      </c>
      <c r="P187" s="27" t="s">
        <v>453</v>
      </c>
    </row>
    <row r="188" spans="1:21" ht="85" x14ac:dyDescent="0.2">
      <c r="A188" s="25">
        <v>187</v>
      </c>
      <c r="B188" s="33" t="s">
        <v>259</v>
      </c>
      <c r="C188" s="25" t="s">
        <v>262</v>
      </c>
      <c r="D188" s="25" t="s">
        <v>33</v>
      </c>
      <c r="E188" s="25" t="s">
        <v>34</v>
      </c>
      <c r="N188" s="30" t="str" cm="1">
        <f t="array" ref="N188">SECTION_NAME(B188)</f>
        <v>encounter-start</v>
      </c>
      <c r="P188" s="27" t="s">
        <v>453</v>
      </c>
    </row>
    <row r="189" spans="1:21" ht="187" x14ac:dyDescent="0.2">
      <c r="A189" s="25">
        <v>188</v>
      </c>
      <c r="B189" s="33" t="s">
        <v>259</v>
      </c>
      <c r="C189" s="25" t="s">
        <v>263</v>
      </c>
      <c r="D189" s="25" t="s">
        <v>28</v>
      </c>
      <c r="E189" s="25" t="s">
        <v>38</v>
      </c>
      <c r="N189" s="30" t="str" cm="1">
        <f t="array" ref="N189">SECTION_NAME(B189)</f>
        <v>encounter-start</v>
      </c>
      <c r="T189" s="27" t="s">
        <v>416</v>
      </c>
    </row>
    <row r="190" spans="1:21" ht="136" x14ac:dyDescent="0.2">
      <c r="A190" s="25">
        <v>189</v>
      </c>
      <c r="B190" s="33" t="s">
        <v>259</v>
      </c>
      <c r="C190" s="25" t="s">
        <v>264</v>
      </c>
      <c r="D190" s="25" t="s">
        <v>28</v>
      </c>
      <c r="E190" s="25" t="s">
        <v>38</v>
      </c>
      <c r="N190" s="30" t="str" cm="1">
        <f t="array" ref="N190">SECTION_NAME(B190)</f>
        <v>encounter-start</v>
      </c>
    </row>
    <row r="191" spans="1:21" ht="119" x14ac:dyDescent="0.2">
      <c r="A191" s="25">
        <v>190</v>
      </c>
      <c r="B191" s="33" t="s">
        <v>259</v>
      </c>
      <c r="C191" s="25" t="s">
        <v>265</v>
      </c>
      <c r="D191" s="25" t="s">
        <v>28</v>
      </c>
      <c r="E191" s="25" t="s">
        <v>38</v>
      </c>
      <c r="N191" s="30" t="str" cm="1">
        <f t="array" ref="N191">SECTION_NAME(B191)</f>
        <v>encounter-start</v>
      </c>
    </row>
    <row r="192" spans="1:21" ht="153" x14ac:dyDescent="0.2">
      <c r="A192" s="25">
        <v>191</v>
      </c>
      <c r="B192" s="33" t="s">
        <v>259</v>
      </c>
      <c r="C192" s="25" t="s">
        <v>266</v>
      </c>
      <c r="D192" s="25" t="s">
        <v>28</v>
      </c>
      <c r="E192" s="25" t="s">
        <v>38</v>
      </c>
      <c r="N192" s="30" t="str" cm="1">
        <f t="array" ref="N192">SECTION_NAME(B192)</f>
        <v>encounter-start</v>
      </c>
    </row>
    <row r="193" spans="1:20" ht="119" x14ac:dyDescent="0.2">
      <c r="A193" s="25">
        <v>192</v>
      </c>
      <c r="B193" s="33" t="s">
        <v>259</v>
      </c>
      <c r="C193" s="25" t="s">
        <v>482</v>
      </c>
      <c r="D193" s="25" t="s">
        <v>33</v>
      </c>
      <c r="E193" s="25" t="s">
        <v>34</v>
      </c>
      <c r="N193" s="30" t="str" cm="1">
        <f t="array" ref="N193">SECTION_NAME(B193)</f>
        <v>encounter-start</v>
      </c>
      <c r="P193" s="27" t="s">
        <v>453</v>
      </c>
    </row>
    <row r="194" spans="1:20" ht="68" x14ac:dyDescent="0.2">
      <c r="A194" s="25">
        <v>193</v>
      </c>
      <c r="B194" s="33" t="s">
        <v>259</v>
      </c>
      <c r="C194" s="25" t="s">
        <v>481</v>
      </c>
      <c r="D194" s="25" t="s">
        <v>33</v>
      </c>
      <c r="E194" s="25" t="s">
        <v>34</v>
      </c>
      <c r="N194" s="30" t="str" cm="1">
        <f t="array" ref="N194">SECTION_NAME(B194)</f>
        <v>encounter-start</v>
      </c>
      <c r="P194" s="27" t="s">
        <v>453</v>
      </c>
    </row>
    <row r="195" spans="1:20" ht="68" x14ac:dyDescent="0.2">
      <c r="A195" s="25">
        <v>194</v>
      </c>
      <c r="B195" s="33" t="s">
        <v>259</v>
      </c>
      <c r="C195" s="25" t="s">
        <v>480</v>
      </c>
      <c r="D195" s="25" t="s">
        <v>33</v>
      </c>
      <c r="E195" s="25" t="s">
        <v>34</v>
      </c>
      <c r="M195" s="30" t="str" cm="1">
        <f t="array" ref="M195">PAGE_NAME(B195)</f>
        <v>hooks</v>
      </c>
      <c r="N195" s="30" t="str" cm="1">
        <f t="array" ref="N195">SECTION_NAME(B195)</f>
        <v>encounter-start</v>
      </c>
      <c r="P195" s="27" t="s">
        <v>453</v>
      </c>
    </row>
    <row r="196" spans="1:20" ht="68" x14ac:dyDescent="0.2">
      <c r="A196" s="25">
        <v>195</v>
      </c>
      <c r="B196" s="33" t="s">
        <v>259</v>
      </c>
      <c r="C196" s="25" t="s">
        <v>267</v>
      </c>
      <c r="D196" s="25" t="s">
        <v>28</v>
      </c>
      <c r="E196" s="25" t="s">
        <v>38</v>
      </c>
      <c r="M196" s="30" t="str" cm="1">
        <f t="array" ref="M196">PAGE_NAME(B196)</f>
        <v>hooks</v>
      </c>
      <c r="N196" s="30" t="str" cm="1">
        <f t="array" ref="N196">SECTION_NAME(B196)</f>
        <v>encounter-start</v>
      </c>
    </row>
    <row r="197" spans="1:20" ht="102" x14ac:dyDescent="0.2">
      <c r="A197" s="25">
        <v>196</v>
      </c>
      <c r="B197" s="33" t="s">
        <v>268</v>
      </c>
      <c r="C197" s="25" t="s">
        <v>269</v>
      </c>
      <c r="D197" s="25" t="s">
        <v>33</v>
      </c>
      <c r="E197" s="25" t="s">
        <v>38</v>
      </c>
      <c r="F197" s="25" t="s">
        <v>469</v>
      </c>
    </row>
    <row r="198" spans="1:20" ht="102" x14ac:dyDescent="0.2">
      <c r="A198" s="25">
        <v>197</v>
      </c>
      <c r="B198" s="33" t="s">
        <v>268</v>
      </c>
      <c r="C198" s="25" t="s">
        <v>270</v>
      </c>
      <c r="D198" s="25" t="s">
        <v>33</v>
      </c>
      <c r="E198" s="25" t="s">
        <v>34</v>
      </c>
      <c r="F198" s="25" t="s">
        <v>470</v>
      </c>
      <c r="P198" s="27" t="s">
        <v>456</v>
      </c>
    </row>
    <row r="199" spans="1:20" ht="85" x14ac:dyDescent="0.2">
      <c r="A199" s="25">
        <v>198</v>
      </c>
      <c r="B199" s="33" t="s">
        <v>268</v>
      </c>
      <c r="C199" s="25" t="s">
        <v>271</v>
      </c>
      <c r="D199" s="25" t="s">
        <v>50</v>
      </c>
      <c r="E199" s="25" t="s">
        <v>38</v>
      </c>
    </row>
    <row r="200" spans="1:20" ht="85" x14ac:dyDescent="0.2">
      <c r="A200" s="25">
        <v>199</v>
      </c>
      <c r="B200" s="33" t="s">
        <v>268</v>
      </c>
      <c r="C200" s="25" t="s">
        <v>438</v>
      </c>
      <c r="D200" s="25" t="s">
        <v>50</v>
      </c>
      <c r="E200" s="25" t="s">
        <v>34</v>
      </c>
    </row>
    <row r="201" spans="1:20" ht="85" x14ac:dyDescent="0.2">
      <c r="A201" s="25">
        <v>200</v>
      </c>
      <c r="B201" s="33" t="s">
        <v>268</v>
      </c>
      <c r="C201" s="25" t="s">
        <v>439</v>
      </c>
      <c r="D201" s="25" t="s">
        <v>50</v>
      </c>
      <c r="E201" s="25" t="s">
        <v>34</v>
      </c>
    </row>
    <row r="202" spans="1:20" ht="153" x14ac:dyDescent="0.2">
      <c r="A202" s="25">
        <v>201</v>
      </c>
      <c r="B202" s="33" t="s">
        <v>268</v>
      </c>
      <c r="C202" s="25" t="s">
        <v>479</v>
      </c>
      <c r="D202" s="25" t="s">
        <v>33</v>
      </c>
      <c r="E202" s="25" t="s">
        <v>34</v>
      </c>
      <c r="P202" s="27" t="s">
        <v>456</v>
      </c>
    </row>
    <row r="203" spans="1:20" ht="102" x14ac:dyDescent="0.2">
      <c r="A203" s="25">
        <v>202</v>
      </c>
      <c r="B203" s="33" t="s">
        <v>268</v>
      </c>
      <c r="C203" s="25" t="s">
        <v>478</v>
      </c>
      <c r="D203" s="25" t="s">
        <v>33</v>
      </c>
      <c r="E203" s="25" t="s">
        <v>34</v>
      </c>
      <c r="P203" s="27" t="s">
        <v>456</v>
      </c>
    </row>
    <row r="204" spans="1:20" ht="102" x14ac:dyDescent="0.2">
      <c r="A204" s="25">
        <v>203</v>
      </c>
      <c r="B204" s="33" t="s">
        <v>268</v>
      </c>
      <c r="C204" s="25" t="s">
        <v>477</v>
      </c>
      <c r="D204" s="25" t="s">
        <v>33</v>
      </c>
      <c r="E204" s="25" t="s">
        <v>34</v>
      </c>
      <c r="M204" s="30" t="str" cm="1">
        <f t="array" ref="M204">PAGE_NAME(B204)</f>
        <v>hooks</v>
      </c>
      <c r="N204" s="30" t="str" cm="1">
        <f t="array" ref="N204">SECTION_NAME(B204)</f>
        <v>encounter-discharge</v>
      </c>
      <c r="P204" s="27" t="s">
        <v>456</v>
      </c>
    </row>
    <row r="205" spans="1:20" ht="85" x14ac:dyDescent="0.2">
      <c r="A205" s="25">
        <v>204</v>
      </c>
      <c r="B205" s="33" t="s">
        <v>272</v>
      </c>
      <c r="C205" s="25" t="s">
        <v>273</v>
      </c>
      <c r="D205" s="25" t="s">
        <v>33</v>
      </c>
      <c r="E205" s="25" t="s">
        <v>38</v>
      </c>
      <c r="F205" s="25" t="s">
        <v>471</v>
      </c>
      <c r="T205" s="27" t="s">
        <v>274</v>
      </c>
    </row>
    <row r="206" spans="1:20" ht="85" x14ac:dyDescent="0.2">
      <c r="A206" s="25">
        <v>205</v>
      </c>
      <c r="B206" s="33" t="s">
        <v>272</v>
      </c>
      <c r="C206" s="25" t="s">
        <v>275</v>
      </c>
      <c r="D206" s="25" t="s">
        <v>33</v>
      </c>
      <c r="E206" s="25" t="s">
        <v>34</v>
      </c>
      <c r="F206" s="25" t="s">
        <v>472</v>
      </c>
      <c r="P206" s="27" t="s">
        <v>459</v>
      </c>
      <c r="T206" s="27" t="s">
        <v>274</v>
      </c>
    </row>
    <row r="207" spans="1:20" ht="68" x14ac:dyDescent="0.2">
      <c r="A207" s="25">
        <v>206</v>
      </c>
      <c r="B207" s="33" t="s">
        <v>272</v>
      </c>
      <c r="C207" s="25" t="s">
        <v>276</v>
      </c>
      <c r="D207" s="25" t="s">
        <v>28</v>
      </c>
      <c r="E207" s="25" t="s">
        <v>38</v>
      </c>
      <c r="M207" s="30" t="str" cm="1">
        <f t="array" ref="M207">PAGE_NAME(B207)</f>
        <v>hooks</v>
      </c>
      <c r="N207" s="30" t="str" cm="1">
        <f t="array" ref="N207">SECTION_NAME(B207)</f>
        <v>order-dispatch</v>
      </c>
      <c r="T207" s="27" t="s">
        <v>274</v>
      </c>
    </row>
    <row r="208" spans="1:20" ht="119" x14ac:dyDescent="0.2">
      <c r="A208" s="25">
        <v>207</v>
      </c>
      <c r="B208" s="33" t="s">
        <v>272</v>
      </c>
      <c r="C208" s="25" t="s">
        <v>277</v>
      </c>
      <c r="D208" s="25" t="s">
        <v>33</v>
      </c>
      <c r="E208" s="25" t="s">
        <v>29</v>
      </c>
      <c r="M208" s="30" t="str" cm="1">
        <f t="array" ref="M208">PAGE_NAME(B208)</f>
        <v>hooks</v>
      </c>
      <c r="N208" s="30" t="str" cm="1">
        <f t="array" ref="N208">SECTION_NAME(B208)</f>
        <v>order-dispatch</v>
      </c>
      <c r="P208" s="27" t="s">
        <v>459</v>
      </c>
      <c r="T208" s="27" t="s">
        <v>274</v>
      </c>
    </row>
    <row r="209" spans="1:20" ht="68" x14ac:dyDescent="0.2">
      <c r="A209" s="25">
        <v>208</v>
      </c>
      <c r="B209" s="33" t="s">
        <v>278</v>
      </c>
      <c r="C209" s="25" t="s">
        <v>421</v>
      </c>
      <c r="D209" s="25" t="s">
        <v>33</v>
      </c>
      <c r="E209" s="25" t="s">
        <v>38</v>
      </c>
      <c r="F209" s="25" t="s">
        <v>473</v>
      </c>
      <c r="T209" s="27" t="s">
        <v>279</v>
      </c>
    </row>
    <row r="210" spans="1:20" ht="68" x14ac:dyDescent="0.2">
      <c r="A210" s="25">
        <v>209</v>
      </c>
      <c r="B210" s="33" t="s">
        <v>278</v>
      </c>
      <c r="C210" s="25" t="s">
        <v>422</v>
      </c>
      <c r="D210" s="25" t="s">
        <v>33</v>
      </c>
      <c r="E210" s="25" t="s">
        <v>34</v>
      </c>
      <c r="F210" s="25" t="s">
        <v>474</v>
      </c>
      <c r="P210" s="27" t="s">
        <v>460</v>
      </c>
      <c r="T210" s="27" t="s">
        <v>279</v>
      </c>
    </row>
    <row r="211" spans="1:20" ht="68" x14ac:dyDescent="0.2">
      <c r="A211" s="25">
        <v>210</v>
      </c>
      <c r="B211" s="33" t="s">
        <v>278</v>
      </c>
      <c r="C211" s="25" t="s">
        <v>423</v>
      </c>
      <c r="D211" s="25" t="s">
        <v>50</v>
      </c>
      <c r="E211" s="25" t="s">
        <v>38</v>
      </c>
      <c r="M211" s="30" t="str" cm="1">
        <f t="array" ref="M211">PAGE_NAME(B211)</f>
        <v>hooks</v>
      </c>
      <c r="N211" s="30" t="str" cm="1">
        <f t="array" ref="N211">SECTION_NAME(B211)</f>
        <v>order-select</v>
      </c>
    </row>
    <row r="212" spans="1:20" ht="119" x14ac:dyDescent="0.2">
      <c r="A212" s="25">
        <v>211</v>
      </c>
      <c r="B212" s="33" t="s">
        <v>278</v>
      </c>
      <c r="C212" s="25" t="s">
        <v>424</v>
      </c>
      <c r="D212" s="25" t="s">
        <v>50</v>
      </c>
      <c r="E212" s="25" t="s">
        <v>38</v>
      </c>
      <c r="M212" s="30" t="str" cm="1">
        <f t="array" ref="M212">PAGE_NAME(B212)</f>
        <v>hooks</v>
      </c>
      <c r="N212" s="30" t="str" cm="1">
        <f t="array" ref="N212">SECTION_NAME(B212)</f>
        <v>order-select</v>
      </c>
    </row>
    <row r="213" spans="1:20" ht="85" x14ac:dyDescent="0.2">
      <c r="A213" s="25">
        <v>212</v>
      </c>
      <c r="B213" s="33" t="s">
        <v>278</v>
      </c>
      <c r="C213" s="25" t="s">
        <v>425</v>
      </c>
      <c r="D213" s="25" t="s">
        <v>33</v>
      </c>
      <c r="E213" s="25" t="s">
        <v>34</v>
      </c>
      <c r="P213" s="27" t="s">
        <v>460</v>
      </c>
    </row>
    <row r="214" spans="1:20" ht="85" x14ac:dyDescent="0.2">
      <c r="A214" s="25">
        <v>213</v>
      </c>
      <c r="B214" s="33" t="s">
        <v>278</v>
      </c>
      <c r="C214" s="25" t="s">
        <v>426</v>
      </c>
      <c r="D214" s="25" t="s">
        <v>33</v>
      </c>
      <c r="E214" s="25" t="s">
        <v>34</v>
      </c>
      <c r="P214" s="27" t="s">
        <v>460</v>
      </c>
    </row>
    <row r="215" spans="1:20" ht="238" x14ac:dyDescent="0.2">
      <c r="A215" s="25">
        <v>214</v>
      </c>
      <c r="B215" s="33" t="s">
        <v>278</v>
      </c>
      <c r="C215" s="25" t="s">
        <v>427</v>
      </c>
      <c r="D215" s="25" t="s">
        <v>33</v>
      </c>
      <c r="E215" s="25" t="s">
        <v>34</v>
      </c>
      <c r="M215" s="30" t="str" cm="1">
        <f t="array" ref="M215">PAGE_NAME(B215)</f>
        <v>hooks</v>
      </c>
      <c r="N215" s="30" t="str" cm="1">
        <f t="array" ref="N215">SECTION_NAME(B215)</f>
        <v>order-select</v>
      </c>
      <c r="P215" s="27" t="s">
        <v>460</v>
      </c>
    </row>
    <row r="216" spans="1:20" ht="170" x14ac:dyDescent="0.2">
      <c r="A216" s="25">
        <v>215</v>
      </c>
      <c r="B216" s="33" t="s">
        <v>278</v>
      </c>
      <c r="C216" s="25" t="s">
        <v>428</v>
      </c>
      <c r="D216" s="25" t="s">
        <v>33</v>
      </c>
      <c r="E216" s="25" t="s">
        <v>34</v>
      </c>
      <c r="P216" s="27" t="s">
        <v>460</v>
      </c>
    </row>
    <row r="217" spans="1:20" ht="51" x14ac:dyDescent="0.2">
      <c r="A217" s="25">
        <v>216</v>
      </c>
      <c r="B217" s="33" t="s">
        <v>278</v>
      </c>
      <c r="C217" s="25" t="s">
        <v>429</v>
      </c>
      <c r="D217" s="25" t="s">
        <v>28</v>
      </c>
      <c r="E217" s="25" t="s">
        <v>34</v>
      </c>
      <c r="M217" s="30" t="str" cm="1">
        <f t="array" ref="M217">PAGE_NAME(B217)</f>
        <v>hooks</v>
      </c>
      <c r="N217" s="30" t="str" cm="1">
        <f t="array" ref="N217">SECTION_NAME(B217)</f>
        <v>order-select</v>
      </c>
    </row>
    <row r="218" spans="1:20" ht="68" x14ac:dyDescent="0.2">
      <c r="A218" s="25">
        <v>217</v>
      </c>
      <c r="B218" s="33" t="s">
        <v>280</v>
      </c>
      <c r="C218" s="25" t="s">
        <v>420</v>
      </c>
      <c r="D218" s="25" t="s">
        <v>33</v>
      </c>
      <c r="E218" s="25" t="s">
        <v>38</v>
      </c>
      <c r="F218" s="25" t="s">
        <v>475</v>
      </c>
    </row>
    <row r="219" spans="1:20" ht="68" x14ac:dyDescent="0.2">
      <c r="A219" s="25">
        <v>218</v>
      </c>
      <c r="B219" s="33" t="s">
        <v>280</v>
      </c>
      <c r="C219" s="25" t="s">
        <v>419</v>
      </c>
      <c r="D219" s="25" t="s">
        <v>33</v>
      </c>
      <c r="E219" s="25" t="s">
        <v>34</v>
      </c>
      <c r="F219" s="25" t="s">
        <v>476</v>
      </c>
      <c r="P219" s="27" t="s">
        <v>461</v>
      </c>
    </row>
    <row r="220" spans="1:20" ht="68" x14ac:dyDescent="0.2">
      <c r="A220" s="25">
        <v>219</v>
      </c>
      <c r="B220" s="33" t="s">
        <v>280</v>
      </c>
      <c r="C220" s="25" t="s">
        <v>430</v>
      </c>
      <c r="D220" s="25" t="s">
        <v>28</v>
      </c>
      <c r="E220" s="25" t="s">
        <v>38</v>
      </c>
      <c r="M220" s="30" t="str" cm="1">
        <f t="array" ref="M220">PAGE_NAME(B220)</f>
        <v>hooks</v>
      </c>
      <c r="N220" s="30" t="str" cm="1">
        <f t="array" ref="N220">SECTION_NAME(B220)</f>
        <v>order-sign</v>
      </c>
    </row>
    <row r="221" spans="1:20" ht="136" x14ac:dyDescent="0.2">
      <c r="A221" s="25">
        <v>220</v>
      </c>
      <c r="B221" s="33" t="s">
        <v>280</v>
      </c>
      <c r="C221" s="25" t="s">
        <v>434</v>
      </c>
      <c r="D221" s="25" t="s">
        <v>33</v>
      </c>
      <c r="E221" s="25" t="s">
        <v>34</v>
      </c>
      <c r="P221" s="27" t="s">
        <v>461</v>
      </c>
    </row>
    <row r="222" spans="1:20" ht="136" x14ac:dyDescent="0.2">
      <c r="A222" s="25">
        <v>221</v>
      </c>
      <c r="B222" s="33" t="s">
        <v>280</v>
      </c>
      <c r="C222" s="25" t="s">
        <v>435</v>
      </c>
      <c r="D222" s="25" t="s">
        <v>33</v>
      </c>
      <c r="E222" s="25" t="s">
        <v>34</v>
      </c>
      <c r="M222" s="30" t="str" cm="1">
        <f t="array" ref="M222">PAGE_NAME(B222)</f>
        <v>hooks</v>
      </c>
      <c r="N222" s="30" t="str" cm="1">
        <f t="array" ref="N222">SECTION_NAME(B222)</f>
        <v>order-sign</v>
      </c>
      <c r="P222" s="27" t="s">
        <v>461</v>
      </c>
    </row>
    <row r="223" spans="1:20" ht="289" x14ac:dyDescent="0.2">
      <c r="A223" s="25">
        <v>222</v>
      </c>
      <c r="B223" s="33" t="s">
        <v>280</v>
      </c>
      <c r="C223" s="25" t="s">
        <v>436</v>
      </c>
      <c r="D223" s="25" t="s">
        <v>33</v>
      </c>
      <c r="E223" s="25" t="s">
        <v>34</v>
      </c>
      <c r="P223" s="27" t="s">
        <v>461</v>
      </c>
    </row>
    <row r="224" spans="1:20" ht="221" x14ac:dyDescent="0.2">
      <c r="A224" s="25">
        <v>223</v>
      </c>
      <c r="B224" s="33" t="s">
        <v>280</v>
      </c>
      <c r="C224" s="25" t="s">
        <v>437</v>
      </c>
      <c r="D224" s="25" t="s">
        <v>33</v>
      </c>
      <c r="E224" s="25" t="s">
        <v>34</v>
      </c>
      <c r="P224" s="27" t="s">
        <v>461</v>
      </c>
    </row>
    <row r="225" spans="1:16" ht="68" x14ac:dyDescent="0.2">
      <c r="A225" s="25">
        <v>224</v>
      </c>
      <c r="B225" s="33" t="s">
        <v>280</v>
      </c>
      <c r="C225" s="25" t="s">
        <v>431</v>
      </c>
      <c r="D225" s="25" t="s">
        <v>28</v>
      </c>
      <c r="E225" s="25" t="s">
        <v>38</v>
      </c>
      <c r="M225" s="30" t="str" cm="1">
        <f t="array" ref="M225">PAGE_NAME(B225)</f>
        <v>hooks</v>
      </c>
      <c r="N225" s="30" t="str" cm="1">
        <f t="array" ref="N225">SECTION_NAME(B225)</f>
        <v>order-sign</v>
      </c>
    </row>
    <row r="226" spans="1:16" ht="68" x14ac:dyDescent="0.2">
      <c r="A226" s="25">
        <v>225</v>
      </c>
      <c r="B226" s="33" t="s">
        <v>280</v>
      </c>
      <c r="C226" s="25" t="s">
        <v>432</v>
      </c>
      <c r="D226" s="25" t="s">
        <v>33</v>
      </c>
      <c r="E226" s="25" t="s">
        <v>34</v>
      </c>
      <c r="M226" s="30" t="str" cm="1">
        <f t="array" ref="M226">PAGE_NAME(B226)</f>
        <v>hooks</v>
      </c>
      <c r="N226" s="30" t="str" cm="1">
        <f t="array" ref="N226">SECTION_NAME(B226)</f>
        <v>order-sign</v>
      </c>
      <c r="P226" s="27" t="s">
        <v>461</v>
      </c>
    </row>
    <row r="227" spans="1:16" ht="68" x14ac:dyDescent="0.2">
      <c r="A227" s="25">
        <v>226</v>
      </c>
      <c r="B227" s="33" t="s">
        <v>280</v>
      </c>
      <c r="C227" s="25" t="s">
        <v>433</v>
      </c>
      <c r="D227" s="25" t="s">
        <v>33</v>
      </c>
      <c r="E227" s="25" t="s">
        <v>38</v>
      </c>
      <c r="M227" s="30" t="str" cm="1">
        <f t="array" ref="M227">PAGE_NAME(B227)</f>
        <v>hooks</v>
      </c>
      <c r="N227" s="30" t="str" cm="1">
        <f t="array" ref="N227">SECTION_NAME(B227)</f>
        <v>order-sign</v>
      </c>
    </row>
    <row r="228" spans="1:16" ht="34" x14ac:dyDescent="0.2">
      <c r="A228" s="25">
        <v>227</v>
      </c>
      <c r="B228" s="33" t="s">
        <v>281</v>
      </c>
      <c r="C228" s="25" t="s">
        <v>282</v>
      </c>
      <c r="D228" s="25" t="s">
        <v>50</v>
      </c>
      <c r="E228" s="25" t="s">
        <v>38</v>
      </c>
      <c r="M228" s="30" t="str" cm="1">
        <f t="array" ref="M228">PAGE_NAME(B228)</f>
        <v>cards</v>
      </c>
      <c r="N228" s="30" t="str" cm="1">
        <f t="array" ref="N228">SECTION_NAME(B228)</f>
        <v>cards-profiles</v>
      </c>
    </row>
    <row r="229" spans="1:16" ht="17" x14ac:dyDescent="0.2">
      <c r="A229" s="25">
        <v>228</v>
      </c>
      <c r="B229" s="33" t="s">
        <v>281</v>
      </c>
      <c r="C229" s="25" t="s">
        <v>283</v>
      </c>
      <c r="D229" s="25" t="s">
        <v>50</v>
      </c>
      <c r="E229" s="25" t="s">
        <v>38</v>
      </c>
      <c r="M229" s="30" t="str" cm="1">
        <f t="array" ref="M229">PAGE_NAME(B229)</f>
        <v>cards</v>
      </c>
      <c r="N229" s="30" t="str" cm="1">
        <f t="array" ref="N229">SECTION_NAME(B229)</f>
        <v>cards-profiles</v>
      </c>
    </row>
    <row r="230" spans="1:16" ht="119" x14ac:dyDescent="0.2">
      <c r="A230" s="25">
        <v>229</v>
      </c>
      <c r="B230" s="33" t="s">
        <v>281</v>
      </c>
      <c r="C230" s="25" t="s">
        <v>284</v>
      </c>
      <c r="D230" s="25" t="s">
        <v>50</v>
      </c>
      <c r="E230" s="25" t="s">
        <v>38</v>
      </c>
      <c r="M230" s="30" t="str" cm="1">
        <f t="array" ref="M230">PAGE_NAME(B230)</f>
        <v>cards</v>
      </c>
      <c r="N230" s="30" t="str" cm="1">
        <f t="array" ref="N230">SECTION_NAME(B230)</f>
        <v>cards-profiles</v>
      </c>
    </row>
    <row r="231" spans="1:16" ht="102" x14ac:dyDescent="0.2">
      <c r="A231" s="25">
        <v>230</v>
      </c>
      <c r="B231" s="33" t="s">
        <v>281</v>
      </c>
      <c r="C231" s="25" t="s">
        <v>285</v>
      </c>
      <c r="D231" s="25" t="s">
        <v>50</v>
      </c>
      <c r="E231" s="25" t="s">
        <v>38</v>
      </c>
      <c r="M231" s="30" t="str" cm="1">
        <f t="array" ref="M231">PAGE_NAME(B231)</f>
        <v>cards</v>
      </c>
      <c r="N231" s="30" t="str" cm="1">
        <f t="array" ref="N231">SECTION_NAME(B231)</f>
        <v>cards-profiles</v>
      </c>
    </row>
    <row r="232" spans="1:16" ht="68" x14ac:dyDescent="0.2">
      <c r="A232" s="25">
        <v>231</v>
      </c>
      <c r="B232" s="33" t="s">
        <v>281</v>
      </c>
      <c r="C232" s="25" t="s">
        <v>286</v>
      </c>
      <c r="D232" s="25" t="s">
        <v>50</v>
      </c>
      <c r="E232" s="25" t="s">
        <v>38</v>
      </c>
      <c r="M232" s="30" t="str" cm="1">
        <f t="array" ref="M232">PAGE_NAME(B232)</f>
        <v>cards</v>
      </c>
      <c r="N232" s="30" t="str" cm="1">
        <f t="array" ref="N232">SECTION_NAME(B232)</f>
        <v>cards-profiles</v>
      </c>
    </row>
    <row r="233" spans="1:16" ht="85" x14ac:dyDescent="0.2">
      <c r="A233" s="25">
        <v>232</v>
      </c>
      <c r="B233" s="33" t="s">
        <v>281</v>
      </c>
      <c r="C233" s="25" t="s">
        <v>287</v>
      </c>
      <c r="D233" s="25" t="s">
        <v>50</v>
      </c>
      <c r="E233" s="25" t="s">
        <v>38</v>
      </c>
      <c r="M233" s="30" t="str" cm="1">
        <f t="array" ref="M233">PAGE_NAME(B233)</f>
        <v>cards</v>
      </c>
      <c r="N233" s="30" t="str" cm="1">
        <f t="array" ref="N233">SECTION_NAME(B233)</f>
        <v>cards-profiles</v>
      </c>
    </row>
    <row r="234" spans="1:16" ht="68" x14ac:dyDescent="0.2">
      <c r="A234" s="25">
        <v>233</v>
      </c>
      <c r="B234" s="33" t="s">
        <v>281</v>
      </c>
      <c r="C234" s="25" t="s">
        <v>288</v>
      </c>
      <c r="D234" s="25" t="s">
        <v>50</v>
      </c>
      <c r="E234" s="25" t="s">
        <v>38</v>
      </c>
      <c r="M234" s="30" t="str" cm="1">
        <f t="array" ref="M234">PAGE_NAME(B234)</f>
        <v>cards</v>
      </c>
      <c r="N234" s="30" t="str" cm="1">
        <f t="array" ref="N234">SECTION_NAME(B234)</f>
        <v>cards-profiles</v>
      </c>
    </row>
    <row r="235" spans="1:16" ht="51" x14ac:dyDescent="0.2">
      <c r="A235" s="25">
        <v>234</v>
      </c>
      <c r="B235" s="33" t="s">
        <v>281</v>
      </c>
      <c r="C235" s="25" t="s">
        <v>289</v>
      </c>
      <c r="D235" s="25" t="s">
        <v>50</v>
      </c>
      <c r="E235" s="25" t="s">
        <v>38</v>
      </c>
      <c r="M235" s="30" t="str" cm="1">
        <f t="array" ref="M235">PAGE_NAME(B235)</f>
        <v>cards</v>
      </c>
      <c r="N235" s="30" t="str" cm="1">
        <f t="array" ref="N235">SECTION_NAME(B235)</f>
        <v>cards-profiles</v>
      </c>
    </row>
    <row r="236" spans="1:16" ht="51" x14ac:dyDescent="0.2">
      <c r="A236" s="25">
        <v>235</v>
      </c>
      <c r="B236" s="33" t="s">
        <v>281</v>
      </c>
      <c r="C236" s="25" t="s">
        <v>290</v>
      </c>
      <c r="D236" s="25" t="s">
        <v>50</v>
      </c>
      <c r="E236" s="25" t="s">
        <v>38</v>
      </c>
      <c r="M236" s="30" t="str" cm="1">
        <f t="array" ref="M236">PAGE_NAME(B236)</f>
        <v>cards</v>
      </c>
      <c r="N236" s="30" t="str" cm="1">
        <f t="array" ref="N236">SECTION_NAME(B236)</f>
        <v>cards-profiles</v>
      </c>
    </row>
    <row r="237" spans="1:16" ht="102" x14ac:dyDescent="0.2">
      <c r="A237" s="25">
        <v>236</v>
      </c>
      <c r="B237" s="33" t="s">
        <v>281</v>
      </c>
      <c r="C237" s="25" t="s">
        <v>291</v>
      </c>
      <c r="D237" s="25" t="s">
        <v>50</v>
      </c>
      <c r="E237" s="25" t="s">
        <v>38</v>
      </c>
      <c r="M237" s="30" t="str" cm="1">
        <f t="array" ref="M237">PAGE_NAME(B237)</f>
        <v>cards</v>
      </c>
      <c r="N237" s="30" t="str" cm="1">
        <f t="array" ref="N237">SECTION_NAME(B237)</f>
        <v>cards-profiles</v>
      </c>
    </row>
    <row r="238" spans="1:16" ht="85" x14ac:dyDescent="0.2">
      <c r="A238" s="25">
        <v>237</v>
      </c>
      <c r="B238" s="33" t="s">
        <v>281</v>
      </c>
      <c r="C238" s="25" t="s">
        <v>292</v>
      </c>
      <c r="D238" s="25" t="s">
        <v>50</v>
      </c>
      <c r="E238" s="25" t="s">
        <v>38</v>
      </c>
      <c r="M238" s="30" t="str" cm="1">
        <f t="array" ref="M238">PAGE_NAME(B238)</f>
        <v>cards</v>
      </c>
      <c r="N238" s="30" t="str" cm="1">
        <f t="array" ref="N238">SECTION_NAME(B238)</f>
        <v>cards-profiles</v>
      </c>
    </row>
    <row r="239" spans="1:16" ht="51" x14ac:dyDescent="0.2">
      <c r="A239" s="25">
        <v>238</v>
      </c>
      <c r="B239" s="33" t="s">
        <v>281</v>
      </c>
      <c r="C239" s="25" t="s">
        <v>293</v>
      </c>
      <c r="D239" s="25" t="s">
        <v>50</v>
      </c>
      <c r="E239" s="25" t="s">
        <v>38</v>
      </c>
      <c r="M239" s="30" t="str" cm="1">
        <f t="array" ref="M239">PAGE_NAME(B239)</f>
        <v>cards</v>
      </c>
      <c r="N239" s="30" t="str" cm="1">
        <f t="array" ref="N239">SECTION_NAME(B239)</f>
        <v>cards-profiles</v>
      </c>
    </row>
    <row r="240" spans="1:16" ht="51" x14ac:dyDescent="0.2">
      <c r="A240" s="25">
        <v>239</v>
      </c>
      <c r="B240" s="33" t="s">
        <v>281</v>
      </c>
      <c r="C240" s="25" t="s">
        <v>294</v>
      </c>
      <c r="D240" s="25" t="s">
        <v>50</v>
      </c>
      <c r="E240" s="25" t="s">
        <v>38</v>
      </c>
      <c r="M240" s="30" t="str" cm="1">
        <f t="array" ref="M240">PAGE_NAME(B240)</f>
        <v>cards</v>
      </c>
      <c r="N240" s="30" t="str" cm="1">
        <f t="array" ref="N240">SECTION_NAME(B240)</f>
        <v>cards-profiles</v>
      </c>
    </row>
    <row r="241" spans="1:20" ht="51" x14ac:dyDescent="0.2">
      <c r="A241" s="25">
        <v>240</v>
      </c>
      <c r="B241" s="33" t="s">
        <v>281</v>
      </c>
      <c r="C241" s="25" t="s">
        <v>295</v>
      </c>
      <c r="D241" s="25" t="s">
        <v>50</v>
      </c>
      <c r="E241" s="25" t="s">
        <v>38</v>
      </c>
      <c r="M241" s="30" t="str" cm="1">
        <f t="array" ref="M241">PAGE_NAME(B241)</f>
        <v>cards</v>
      </c>
      <c r="N241" s="30" t="str" cm="1">
        <f t="array" ref="N241">SECTION_NAME(B241)</f>
        <v>cards-profiles</v>
      </c>
    </row>
    <row r="242" spans="1:20" ht="51" x14ac:dyDescent="0.2">
      <c r="A242" s="25">
        <v>241</v>
      </c>
      <c r="B242" s="33" t="s">
        <v>281</v>
      </c>
      <c r="C242" s="25" t="s">
        <v>296</v>
      </c>
      <c r="D242" s="25" t="s">
        <v>105</v>
      </c>
      <c r="E242" s="25" t="s">
        <v>38</v>
      </c>
      <c r="M242" s="30" t="str" cm="1">
        <f t="array" ref="M242">PAGE_NAME(B242)</f>
        <v>cards</v>
      </c>
      <c r="N242" s="30" t="str" cm="1">
        <f t="array" ref="N242">SECTION_NAME(B242)</f>
        <v>cards-profiles</v>
      </c>
    </row>
    <row r="243" spans="1:20" ht="34" x14ac:dyDescent="0.2">
      <c r="A243" s="25">
        <v>242</v>
      </c>
      <c r="B243" s="33" t="s">
        <v>281</v>
      </c>
      <c r="C243" s="25" t="s">
        <v>297</v>
      </c>
      <c r="D243" s="25" t="s">
        <v>50</v>
      </c>
      <c r="E243" s="25" t="s">
        <v>34</v>
      </c>
      <c r="M243" s="30" t="str" cm="1">
        <f t="array" ref="M243">PAGE_NAME(B243)</f>
        <v>cards</v>
      </c>
      <c r="N243" s="30" t="str" cm="1">
        <f t="array" ref="N243">SECTION_NAME(B243)</f>
        <v>cards-profiles</v>
      </c>
    </row>
    <row r="244" spans="1:20" ht="51" x14ac:dyDescent="0.2">
      <c r="A244" s="25">
        <v>243</v>
      </c>
      <c r="B244" s="33" t="s">
        <v>298</v>
      </c>
      <c r="C244" s="25" t="s">
        <v>299</v>
      </c>
      <c r="D244" s="25" t="s">
        <v>33</v>
      </c>
      <c r="E244" s="25" t="s">
        <v>34</v>
      </c>
      <c r="M244" s="30" t="str" cm="1">
        <f t="array" ref="M244">PAGE_NAME(B244)</f>
        <v>cards</v>
      </c>
      <c r="N244" s="30" t="str" cm="1">
        <f t="array" ref="N244">SECTION_NAME(B244)</f>
        <v>potential-crd-response-types</v>
      </c>
      <c r="P244" s="27" t="s">
        <v>454</v>
      </c>
    </row>
    <row r="245" spans="1:20" ht="51" x14ac:dyDescent="0.2">
      <c r="A245" s="25">
        <v>244</v>
      </c>
      <c r="B245" s="33" t="s">
        <v>298</v>
      </c>
      <c r="C245" s="25" t="s">
        <v>300</v>
      </c>
      <c r="D245" s="25" t="s">
        <v>33</v>
      </c>
      <c r="E245" s="25" t="s">
        <v>34</v>
      </c>
      <c r="M245" s="30" t="str" cm="1">
        <f t="array" ref="M245">PAGE_NAME(B245)</f>
        <v>cards</v>
      </c>
      <c r="N245" s="30" t="str" cm="1">
        <f t="array" ref="N245">SECTION_NAME(B245)</f>
        <v>potential-crd-response-types</v>
      </c>
      <c r="P245" s="27" t="s">
        <v>458</v>
      </c>
    </row>
    <row r="246" spans="1:20" ht="51" x14ac:dyDescent="0.2">
      <c r="A246" s="25">
        <v>245</v>
      </c>
      <c r="B246" s="33" t="s">
        <v>298</v>
      </c>
      <c r="C246" s="25" t="s">
        <v>301</v>
      </c>
      <c r="D246" s="25" t="s">
        <v>33</v>
      </c>
      <c r="E246" s="25" t="s">
        <v>34</v>
      </c>
      <c r="M246" s="30" t="str" cm="1">
        <f t="array" ref="M246">PAGE_NAME(B246)</f>
        <v>cards</v>
      </c>
      <c r="N246" s="30" t="str" cm="1">
        <f t="array" ref="N246">SECTION_NAME(B246)</f>
        <v>potential-crd-response-types</v>
      </c>
      <c r="P246" s="27" t="s">
        <v>455</v>
      </c>
    </row>
    <row r="247" spans="1:20" ht="51" x14ac:dyDescent="0.2">
      <c r="A247" s="25">
        <v>246</v>
      </c>
      <c r="B247" s="33" t="s">
        <v>298</v>
      </c>
      <c r="C247" s="25" t="s">
        <v>302</v>
      </c>
      <c r="D247" s="25" t="s">
        <v>50</v>
      </c>
      <c r="E247" s="25" t="s">
        <v>34</v>
      </c>
      <c r="M247" s="30" t="str" cm="1">
        <f t="array" ref="M247">PAGE_NAME(B247)</f>
        <v>cards</v>
      </c>
      <c r="N247" s="30" t="str" cm="1">
        <f t="array" ref="N247">SECTION_NAME(B247)</f>
        <v>potential-crd-response-types</v>
      </c>
    </row>
    <row r="248" spans="1:20" ht="68" x14ac:dyDescent="0.2">
      <c r="A248" s="25">
        <v>247</v>
      </c>
      <c r="B248" s="33" t="s">
        <v>298</v>
      </c>
      <c r="C248" s="25" t="s">
        <v>303</v>
      </c>
      <c r="D248" s="25" t="s">
        <v>33</v>
      </c>
      <c r="E248" s="25" t="s">
        <v>38</v>
      </c>
      <c r="M248" s="30" t="str" cm="1">
        <f t="array" ref="M248">PAGE_NAME(B248)</f>
        <v>cards</v>
      </c>
      <c r="N248" s="30" t="str" cm="1">
        <f t="array" ref="N248">SECTION_NAME(B248)</f>
        <v>potential-crd-response-types</v>
      </c>
    </row>
    <row r="249" spans="1:20" ht="68" x14ac:dyDescent="0.2">
      <c r="A249" s="25">
        <v>248</v>
      </c>
      <c r="B249" s="33" t="s">
        <v>298</v>
      </c>
      <c r="C249" s="25" t="s">
        <v>304</v>
      </c>
      <c r="D249" s="25" t="s">
        <v>33</v>
      </c>
      <c r="E249" s="25" t="s">
        <v>38</v>
      </c>
      <c r="M249" s="30" t="str" cm="1">
        <f t="array" ref="M249">PAGE_NAME(B249)</f>
        <v>cards</v>
      </c>
      <c r="N249" s="30" t="str" cm="1">
        <f t="array" ref="N249">SECTION_NAME(B249)</f>
        <v>potential-crd-response-types</v>
      </c>
    </row>
    <row r="250" spans="1:20" ht="68" x14ac:dyDescent="0.2">
      <c r="A250" s="25">
        <v>249</v>
      </c>
      <c r="B250" s="33" t="s">
        <v>298</v>
      </c>
      <c r="C250" s="25" t="s">
        <v>305</v>
      </c>
      <c r="D250" s="25" t="s">
        <v>33</v>
      </c>
      <c r="E250" s="25" t="s">
        <v>38</v>
      </c>
      <c r="M250" s="30" t="str" cm="1">
        <f t="array" ref="M250">PAGE_NAME(B250)</f>
        <v>cards</v>
      </c>
      <c r="N250" s="30" t="str" cm="1">
        <f t="array" ref="N250">SECTION_NAME(B250)</f>
        <v>potential-crd-response-types</v>
      </c>
    </row>
    <row r="251" spans="1:20" ht="51" x14ac:dyDescent="0.2">
      <c r="A251" s="25">
        <v>250</v>
      </c>
      <c r="B251" s="33" t="s">
        <v>298</v>
      </c>
      <c r="C251" s="25" t="s">
        <v>306</v>
      </c>
      <c r="D251" s="25" t="s">
        <v>28</v>
      </c>
      <c r="E251" s="25" t="s">
        <v>38</v>
      </c>
      <c r="M251" s="30" t="str" cm="1">
        <f t="array" ref="M251">PAGE_NAME(B251)</f>
        <v>cards</v>
      </c>
      <c r="N251" s="30" t="str" cm="1">
        <f t="array" ref="N251">SECTION_NAME(B251)</f>
        <v>potential-crd-response-types</v>
      </c>
    </row>
    <row r="252" spans="1:20" ht="51" x14ac:dyDescent="0.2">
      <c r="A252" s="25">
        <v>251</v>
      </c>
      <c r="B252" s="33" t="s">
        <v>298</v>
      </c>
      <c r="C252" s="25" t="s">
        <v>307</v>
      </c>
      <c r="D252" s="25" t="s">
        <v>28</v>
      </c>
      <c r="E252" s="25" t="s">
        <v>34</v>
      </c>
      <c r="M252" s="30" t="str" cm="1">
        <f t="array" ref="M252">PAGE_NAME(B252)</f>
        <v>cards</v>
      </c>
      <c r="N252" s="30" t="str" cm="1">
        <f t="array" ref="N252">SECTION_NAME(B252)</f>
        <v>potential-crd-response-types</v>
      </c>
    </row>
    <row r="253" spans="1:20" ht="68" x14ac:dyDescent="0.2">
      <c r="A253" s="25">
        <v>252</v>
      </c>
      <c r="B253" s="33" t="s">
        <v>298</v>
      </c>
      <c r="C253" s="25" t="s">
        <v>308</v>
      </c>
      <c r="D253" s="25" t="s">
        <v>33</v>
      </c>
      <c r="E253" s="25" t="s">
        <v>38</v>
      </c>
      <c r="M253" s="30" t="str" cm="1">
        <f t="array" ref="M253">PAGE_NAME(B253)</f>
        <v>cards</v>
      </c>
      <c r="N253" s="30" t="str" cm="1">
        <f t="array" ref="N253">SECTION_NAME(B253)</f>
        <v>potential-crd-response-types</v>
      </c>
    </row>
    <row r="254" spans="1:20" ht="68" x14ac:dyDescent="0.2">
      <c r="A254" s="25">
        <v>253</v>
      </c>
      <c r="B254" s="33" t="s">
        <v>298</v>
      </c>
      <c r="C254" s="25" t="s">
        <v>309</v>
      </c>
      <c r="D254" s="25" t="s">
        <v>105</v>
      </c>
      <c r="E254" s="25" t="s">
        <v>38</v>
      </c>
      <c r="M254" s="30" t="str" cm="1">
        <f t="array" ref="M254">PAGE_NAME(B254)</f>
        <v>cards</v>
      </c>
      <c r="N254" s="30" t="str" cm="1">
        <f t="array" ref="N254">SECTION_NAME(B254)</f>
        <v>potential-crd-response-types</v>
      </c>
    </row>
    <row r="255" spans="1:20" ht="102" x14ac:dyDescent="0.2">
      <c r="A255" s="25">
        <v>254</v>
      </c>
      <c r="B255" s="33" t="s">
        <v>298</v>
      </c>
      <c r="C255" s="25" t="s">
        <v>310</v>
      </c>
      <c r="D255" s="25" t="s">
        <v>206</v>
      </c>
      <c r="E255" s="25" t="s">
        <v>34</v>
      </c>
      <c r="M255" s="30" t="str" cm="1">
        <f t="array" ref="M255">PAGE_NAME(B255)</f>
        <v>cards</v>
      </c>
      <c r="N255" s="30" t="str" cm="1">
        <f t="array" ref="N255">SECTION_NAME(B255)</f>
        <v>potential-crd-response-types</v>
      </c>
      <c r="P255" s="27" t="s">
        <v>445</v>
      </c>
      <c r="T255" s="27" t="s">
        <v>488</v>
      </c>
    </row>
    <row r="256" spans="1:20" ht="85" x14ac:dyDescent="0.2">
      <c r="A256" s="25">
        <v>255</v>
      </c>
      <c r="B256" s="33" t="s">
        <v>298</v>
      </c>
      <c r="C256" s="25" t="s">
        <v>311</v>
      </c>
      <c r="D256" s="25" t="s">
        <v>33</v>
      </c>
      <c r="E256" s="25" t="s">
        <v>34</v>
      </c>
      <c r="G256" s="25" t="b">
        <v>1</v>
      </c>
      <c r="H256" s="27" t="s">
        <v>493</v>
      </c>
      <c r="M256" s="30" t="str" cm="1">
        <f t="array" ref="M256">PAGE_NAME(B256)</f>
        <v>cards</v>
      </c>
      <c r="N256" s="30" t="str" cm="1">
        <f t="array" ref="N256">SECTION_NAME(B256)</f>
        <v>potential-crd-response-types</v>
      </c>
      <c r="P256" s="27" t="s">
        <v>455</v>
      </c>
    </row>
    <row r="257" spans="1:16" ht="68" x14ac:dyDescent="0.2">
      <c r="A257" s="25">
        <v>256</v>
      </c>
      <c r="B257" s="33" t="s">
        <v>298</v>
      </c>
      <c r="C257" s="25" t="s">
        <v>312</v>
      </c>
      <c r="D257" s="25" t="s">
        <v>50</v>
      </c>
      <c r="E257" s="25" t="s">
        <v>34</v>
      </c>
      <c r="M257" s="30" t="str" cm="1">
        <f t="array" ref="M257">PAGE_NAME(B257)</f>
        <v>cards</v>
      </c>
      <c r="N257" s="30" t="str" cm="1">
        <f t="array" ref="N257">SECTION_NAME(B257)</f>
        <v>potential-crd-response-types</v>
      </c>
    </row>
    <row r="258" spans="1:16" ht="68" x14ac:dyDescent="0.2">
      <c r="A258" s="25">
        <v>257</v>
      </c>
      <c r="B258" s="33" t="s">
        <v>298</v>
      </c>
      <c r="C258" s="25" t="s">
        <v>313</v>
      </c>
      <c r="D258" s="25" t="s">
        <v>50</v>
      </c>
      <c r="E258" s="25" t="s">
        <v>34</v>
      </c>
      <c r="M258" s="30" t="str" cm="1">
        <f t="array" ref="M258">PAGE_NAME(B258)</f>
        <v>cards</v>
      </c>
      <c r="N258" s="30" t="str" cm="1">
        <f t="array" ref="N258">SECTION_NAME(B258)</f>
        <v>potential-crd-response-types</v>
      </c>
    </row>
    <row r="259" spans="1:16" ht="51" x14ac:dyDescent="0.2">
      <c r="A259" s="25">
        <v>258</v>
      </c>
      <c r="B259" s="33" t="s">
        <v>314</v>
      </c>
      <c r="C259" s="25" t="s">
        <v>315</v>
      </c>
      <c r="D259" s="25" t="s">
        <v>33</v>
      </c>
      <c r="E259" s="25" t="s">
        <v>38</v>
      </c>
      <c r="M259" s="30" t="str" cm="1">
        <f t="array" ref="M259">PAGE_NAME(B259)</f>
        <v>cards</v>
      </c>
      <c r="N259" s="30" t="str" cm="1">
        <f t="array" ref="N259">SECTION_NAME(B259)</f>
        <v>external-reference</v>
      </c>
    </row>
    <row r="260" spans="1:16" ht="34" x14ac:dyDescent="0.2">
      <c r="A260" s="25">
        <v>259</v>
      </c>
      <c r="B260" s="33" t="s">
        <v>314</v>
      </c>
      <c r="C260" s="25" t="s">
        <v>316</v>
      </c>
      <c r="D260" s="25" t="s">
        <v>33</v>
      </c>
      <c r="E260" s="25" t="s">
        <v>38</v>
      </c>
      <c r="M260" s="30" t="str" cm="1">
        <f t="array" ref="M260">PAGE_NAME(B260)</f>
        <v>cards</v>
      </c>
      <c r="N260" s="30" t="str" cm="1">
        <f t="array" ref="N260">SECTION_NAME(B260)</f>
        <v>external-reference</v>
      </c>
    </row>
    <row r="261" spans="1:16" ht="68" x14ac:dyDescent="0.2">
      <c r="A261" s="25">
        <v>260</v>
      </c>
      <c r="B261" s="33" t="s">
        <v>314</v>
      </c>
      <c r="C261" s="25" t="s">
        <v>317</v>
      </c>
      <c r="D261" s="25" t="s">
        <v>50</v>
      </c>
      <c r="E261" s="25" t="s">
        <v>38</v>
      </c>
      <c r="M261" s="30" t="str" cm="1">
        <f t="array" ref="M261">PAGE_NAME(B261)</f>
        <v>cards</v>
      </c>
      <c r="N261" s="30" t="str" cm="1">
        <f t="array" ref="N261">SECTION_NAME(B261)</f>
        <v>external-reference</v>
      </c>
    </row>
    <row r="262" spans="1:16" ht="85" x14ac:dyDescent="0.2">
      <c r="A262" s="25">
        <v>261</v>
      </c>
      <c r="B262" s="33" t="s">
        <v>314</v>
      </c>
      <c r="C262" s="25" t="s">
        <v>318</v>
      </c>
      <c r="D262" s="25" t="s">
        <v>50</v>
      </c>
      <c r="E262" s="25" t="s">
        <v>38</v>
      </c>
      <c r="M262" s="30" t="str" cm="1">
        <f t="array" ref="M262">PAGE_NAME(B262)</f>
        <v>cards</v>
      </c>
      <c r="N262" s="30" t="str" cm="1">
        <f t="array" ref="N262">SECTION_NAME(B262)</f>
        <v>external-reference</v>
      </c>
    </row>
    <row r="263" spans="1:16" ht="51" x14ac:dyDescent="0.2">
      <c r="A263" s="25">
        <v>262</v>
      </c>
      <c r="B263" s="33" t="s">
        <v>319</v>
      </c>
      <c r="C263" s="25" t="s">
        <v>320</v>
      </c>
      <c r="D263" s="25" t="s">
        <v>33</v>
      </c>
      <c r="E263" s="25" t="s">
        <v>38</v>
      </c>
      <c r="M263" s="30" t="str" cm="1">
        <f t="array" ref="M263">PAGE_NAME(B263)</f>
        <v>cards</v>
      </c>
      <c r="N263" s="30" t="str" cm="1">
        <f t="array" ref="N263">SECTION_NAME(B263)</f>
        <v>coverage-information</v>
      </c>
    </row>
    <row r="264" spans="1:16" ht="85" x14ac:dyDescent="0.2">
      <c r="A264" s="25">
        <v>263</v>
      </c>
      <c r="B264" s="33" t="s">
        <v>319</v>
      </c>
      <c r="C264" s="25" t="s">
        <v>321</v>
      </c>
      <c r="D264" s="25" t="s">
        <v>33</v>
      </c>
      <c r="E264" s="25" t="s">
        <v>34</v>
      </c>
      <c r="M264" s="30" t="str" cm="1">
        <f t="array" ref="M264">PAGE_NAME(B264)</f>
        <v>cards</v>
      </c>
      <c r="N264" s="30" t="str" cm="1">
        <f t="array" ref="N264">SECTION_NAME(B264)</f>
        <v>coverage-information</v>
      </c>
      <c r="P264" s="27" t="s">
        <v>455</v>
      </c>
    </row>
    <row r="265" spans="1:16" ht="68" x14ac:dyDescent="0.2">
      <c r="A265" s="25">
        <v>264</v>
      </c>
      <c r="B265" s="33" t="s">
        <v>319</v>
      </c>
      <c r="C265" s="25" t="s">
        <v>322</v>
      </c>
      <c r="D265" s="25" t="s">
        <v>33</v>
      </c>
      <c r="E265" s="25" t="s">
        <v>38</v>
      </c>
      <c r="M265" s="30" t="str" cm="1">
        <f t="array" ref="M265">PAGE_NAME(B265)</f>
        <v>cards</v>
      </c>
      <c r="N265" s="30" t="str" cm="1">
        <f t="array" ref="N265">SECTION_NAME(B265)</f>
        <v>coverage-information</v>
      </c>
    </row>
    <row r="266" spans="1:16" ht="51" x14ac:dyDescent="0.2">
      <c r="A266" s="25">
        <v>265</v>
      </c>
      <c r="B266" s="33" t="s">
        <v>319</v>
      </c>
      <c r="C266" s="25" t="s">
        <v>323</v>
      </c>
      <c r="D266" s="25" t="s">
        <v>33</v>
      </c>
      <c r="E266" s="25" t="s">
        <v>38</v>
      </c>
      <c r="M266" s="30" t="str" cm="1">
        <f t="array" ref="M266">PAGE_NAME(B266)</f>
        <v>cards</v>
      </c>
      <c r="N266" s="30" t="str" cm="1">
        <f t="array" ref="N266">SECTION_NAME(B266)</f>
        <v>coverage-information</v>
      </c>
    </row>
    <row r="267" spans="1:16" ht="34" x14ac:dyDescent="0.2">
      <c r="A267" s="25">
        <v>266</v>
      </c>
      <c r="B267" s="33" t="s">
        <v>319</v>
      </c>
      <c r="C267" s="25" t="s">
        <v>324</v>
      </c>
      <c r="D267" s="25" t="s">
        <v>28</v>
      </c>
      <c r="E267" s="25" t="s">
        <v>34</v>
      </c>
      <c r="M267" s="30" t="str" cm="1">
        <f t="array" ref="M267">PAGE_NAME(B267)</f>
        <v>cards</v>
      </c>
      <c r="N267" s="30" t="str" cm="1">
        <f t="array" ref="N267">SECTION_NAME(B267)</f>
        <v>coverage-information</v>
      </c>
    </row>
    <row r="268" spans="1:16" ht="68" x14ac:dyDescent="0.2">
      <c r="A268" s="25">
        <v>267</v>
      </c>
      <c r="B268" s="33" t="s">
        <v>319</v>
      </c>
      <c r="C268" s="25" t="s">
        <v>325</v>
      </c>
      <c r="D268" s="25" t="s">
        <v>157</v>
      </c>
      <c r="E268" s="25" t="s">
        <v>38</v>
      </c>
      <c r="M268" s="30" t="str" cm="1">
        <f t="array" ref="M268">PAGE_NAME(B268)</f>
        <v>cards</v>
      </c>
      <c r="N268" s="30" t="str" cm="1">
        <f t="array" ref="N268">SECTION_NAME(B268)</f>
        <v>coverage-information</v>
      </c>
    </row>
    <row r="269" spans="1:16" ht="51" x14ac:dyDescent="0.2">
      <c r="A269" s="25">
        <v>268</v>
      </c>
      <c r="B269" s="33" t="s">
        <v>319</v>
      </c>
      <c r="C269" s="25" t="s">
        <v>326</v>
      </c>
      <c r="D269" s="25" t="s">
        <v>50</v>
      </c>
      <c r="E269" s="25" t="s">
        <v>38</v>
      </c>
      <c r="M269" s="30" t="str" cm="1">
        <f t="array" ref="M269">PAGE_NAME(B269)</f>
        <v>cards</v>
      </c>
      <c r="N269" s="30" t="str" cm="1">
        <f t="array" ref="N269">SECTION_NAME(B269)</f>
        <v>coverage-information</v>
      </c>
    </row>
    <row r="270" spans="1:16" ht="68" x14ac:dyDescent="0.2">
      <c r="A270" s="25">
        <v>269</v>
      </c>
      <c r="B270" s="33" t="s">
        <v>319</v>
      </c>
      <c r="C270" s="25" t="s">
        <v>327</v>
      </c>
      <c r="D270" s="25" t="s">
        <v>50</v>
      </c>
      <c r="E270" s="25" t="s">
        <v>38</v>
      </c>
      <c r="M270" s="30" t="str" cm="1">
        <f t="array" ref="M270">PAGE_NAME(B270)</f>
        <v>cards</v>
      </c>
      <c r="N270" s="30" t="str" cm="1">
        <f t="array" ref="N270">SECTION_NAME(B270)</f>
        <v>coverage-information</v>
      </c>
    </row>
    <row r="271" spans="1:16" ht="68" x14ac:dyDescent="0.2">
      <c r="A271" s="25">
        <v>270</v>
      </c>
      <c r="B271" s="33" t="s">
        <v>319</v>
      </c>
      <c r="C271" s="25" t="s">
        <v>328</v>
      </c>
      <c r="D271" s="25" t="s">
        <v>50</v>
      </c>
      <c r="E271" s="25" t="s">
        <v>38</v>
      </c>
      <c r="M271" s="30" t="str" cm="1">
        <f t="array" ref="M271">PAGE_NAME(B271)</f>
        <v>cards</v>
      </c>
      <c r="N271" s="30" t="str" cm="1">
        <f t="array" ref="N271">SECTION_NAME(B271)</f>
        <v>coverage-information</v>
      </c>
    </row>
    <row r="272" spans="1:16" ht="51" x14ac:dyDescent="0.2">
      <c r="A272" s="25">
        <v>271</v>
      </c>
      <c r="B272" s="33" t="s">
        <v>319</v>
      </c>
      <c r="C272" s="25" t="s">
        <v>329</v>
      </c>
      <c r="D272" s="25" t="s">
        <v>105</v>
      </c>
      <c r="E272" s="25" t="s">
        <v>38</v>
      </c>
      <c r="M272" s="30" t="str" cm="1">
        <f t="array" ref="M272">PAGE_NAME(B272)</f>
        <v>cards</v>
      </c>
      <c r="N272" s="30" t="str" cm="1">
        <f t="array" ref="N272">SECTION_NAME(B272)</f>
        <v>coverage-information</v>
      </c>
    </row>
    <row r="273" spans="1:16" ht="85" x14ac:dyDescent="0.2">
      <c r="A273" s="25">
        <v>272</v>
      </c>
      <c r="B273" s="33" t="s">
        <v>319</v>
      </c>
      <c r="C273" s="25" t="s">
        <v>330</v>
      </c>
      <c r="D273" s="25" t="s">
        <v>33</v>
      </c>
      <c r="E273" s="25" t="s">
        <v>38</v>
      </c>
      <c r="M273" s="30" t="str" cm="1">
        <f t="array" ref="M273">PAGE_NAME(B273)</f>
        <v>cards</v>
      </c>
      <c r="N273" s="30" t="str" cm="1">
        <f t="array" ref="N273">SECTION_NAME(B273)</f>
        <v>coverage-information</v>
      </c>
    </row>
    <row r="274" spans="1:16" ht="85" x14ac:dyDescent="0.2">
      <c r="A274" s="25">
        <v>273</v>
      </c>
      <c r="B274" s="33" t="s">
        <v>319</v>
      </c>
      <c r="C274" s="25" t="s">
        <v>331</v>
      </c>
      <c r="D274" s="25" t="s">
        <v>33</v>
      </c>
      <c r="E274" s="25" t="s">
        <v>38</v>
      </c>
      <c r="M274" s="30" t="str" cm="1">
        <f t="array" ref="M274">PAGE_NAME(B274)</f>
        <v>cards</v>
      </c>
      <c r="N274" s="30" t="str" cm="1">
        <f t="array" ref="N274">SECTION_NAME(B274)</f>
        <v>coverage-information</v>
      </c>
    </row>
    <row r="275" spans="1:16" ht="102" x14ac:dyDescent="0.2">
      <c r="A275" s="25">
        <v>274</v>
      </c>
      <c r="B275" s="33" t="s">
        <v>319</v>
      </c>
      <c r="C275" s="25" t="s">
        <v>332</v>
      </c>
      <c r="D275" s="25" t="s">
        <v>33</v>
      </c>
      <c r="E275" s="25" t="s">
        <v>38</v>
      </c>
      <c r="M275" s="30" t="str" cm="1">
        <f t="array" ref="M275">PAGE_NAME(B275)</f>
        <v>cards</v>
      </c>
      <c r="N275" s="30" t="str" cm="1">
        <f t="array" ref="N275">SECTION_NAME(B275)</f>
        <v>coverage-information</v>
      </c>
    </row>
    <row r="276" spans="1:16" ht="85" x14ac:dyDescent="0.2">
      <c r="A276" s="25">
        <v>275</v>
      </c>
      <c r="B276" s="33" t="s">
        <v>319</v>
      </c>
      <c r="C276" s="25" t="s">
        <v>333</v>
      </c>
      <c r="D276" s="25" t="s">
        <v>33</v>
      </c>
      <c r="E276" s="25" t="s">
        <v>38</v>
      </c>
      <c r="M276" s="30" t="str" cm="1">
        <f t="array" ref="M276">PAGE_NAME(B276)</f>
        <v>cards</v>
      </c>
      <c r="N276" s="30" t="str" cm="1">
        <f t="array" ref="N276">SECTION_NAME(B276)</f>
        <v>coverage-information</v>
      </c>
    </row>
    <row r="277" spans="1:16" ht="85" x14ac:dyDescent="0.2">
      <c r="A277" s="25">
        <v>276</v>
      </c>
      <c r="B277" s="33" t="s">
        <v>319</v>
      </c>
      <c r="C277" s="25" t="s">
        <v>334</v>
      </c>
      <c r="D277" s="25" t="s">
        <v>33</v>
      </c>
      <c r="E277" s="25" t="s">
        <v>38</v>
      </c>
      <c r="M277" s="30" t="str" cm="1">
        <f t="array" ref="M277">PAGE_NAME(B277)</f>
        <v>cards</v>
      </c>
      <c r="N277" s="30" t="str" cm="1">
        <f t="array" ref="N277">SECTION_NAME(B277)</f>
        <v>coverage-information</v>
      </c>
    </row>
    <row r="278" spans="1:16" ht="85" x14ac:dyDescent="0.2">
      <c r="A278" s="25">
        <v>277</v>
      </c>
      <c r="B278" s="33" t="s">
        <v>319</v>
      </c>
      <c r="C278" s="25" t="s">
        <v>335</v>
      </c>
      <c r="D278" s="25" t="s">
        <v>33</v>
      </c>
      <c r="E278" s="25" t="s">
        <v>38</v>
      </c>
      <c r="M278" s="30" t="str" cm="1">
        <f t="array" ref="M278">PAGE_NAME(B278)</f>
        <v>cards</v>
      </c>
      <c r="N278" s="30" t="str" cm="1">
        <f t="array" ref="N278">SECTION_NAME(B278)</f>
        <v>coverage-information</v>
      </c>
    </row>
    <row r="279" spans="1:16" ht="68" x14ac:dyDescent="0.2">
      <c r="A279" s="25">
        <v>278</v>
      </c>
      <c r="B279" s="33" t="s">
        <v>319</v>
      </c>
      <c r="C279" s="25" t="s">
        <v>336</v>
      </c>
      <c r="D279" s="25" t="s">
        <v>33</v>
      </c>
      <c r="E279" s="25" t="s">
        <v>34</v>
      </c>
      <c r="M279" s="30" t="str" cm="1">
        <f t="array" ref="M279">PAGE_NAME(B279)</f>
        <v>cards</v>
      </c>
      <c r="N279" s="30" t="str" cm="1">
        <f t="array" ref="N279">SECTION_NAME(B279)</f>
        <v>coverage-information</v>
      </c>
      <c r="P279" s="27" t="s">
        <v>455</v>
      </c>
    </row>
    <row r="280" spans="1:16" ht="68" x14ac:dyDescent="0.2">
      <c r="A280" s="25">
        <v>279</v>
      </c>
      <c r="B280" s="33" t="s">
        <v>319</v>
      </c>
      <c r="C280" s="25" t="s">
        <v>337</v>
      </c>
      <c r="D280" s="25" t="s">
        <v>33</v>
      </c>
      <c r="E280" s="25" t="s">
        <v>38</v>
      </c>
      <c r="M280" s="30" t="str" cm="1">
        <f t="array" ref="M280">PAGE_NAME(B280)</f>
        <v>cards</v>
      </c>
      <c r="N280" s="30" t="str" cm="1">
        <f t="array" ref="N280">SECTION_NAME(B280)</f>
        <v>coverage-information</v>
      </c>
    </row>
    <row r="281" spans="1:16" ht="85" x14ac:dyDescent="0.2">
      <c r="A281" s="25">
        <v>280</v>
      </c>
      <c r="B281" s="33" t="s">
        <v>319</v>
      </c>
      <c r="C281" s="25" t="s">
        <v>338</v>
      </c>
      <c r="D281" s="25" t="s">
        <v>33</v>
      </c>
      <c r="E281" s="25" t="s">
        <v>34</v>
      </c>
      <c r="M281" s="30" t="str" cm="1">
        <f t="array" ref="M281">PAGE_NAME(B281)</f>
        <v>cards</v>
      </c>
      <c r="N281" s="30" t="str" cm="1">
        <f t="array" ref="N281">SECTION_NAME(B281)</f>
        <v>coverage-information</v>
      </c>
      <c r="P281" s="27" t="s">
        <v>441</v>
      </c>
    </row>
    <row r="282" spans="1:16" ht="51" x14ac:dyDescent="0.2">
      <c r="A282" s="25">
        <v>281</v>
      </c>
      <c r="B282" s="33" t="s">
        <v>319</v>
      </c>
      <c r="C282" s="25" t="s">
        <v>339</v>
      </c>
      <c r="D282" s="25" t="s">
        <v>28</v>
      </c>
      <c r="E282" s="25" t="s">
        <v>34</v>
      </c>
      <c r="M282" s="30" t="str" cm="1">
        <f t="array" ref="M282">PAGE_NAME(B282)</f>
        <v>cards</v>
      </c>
      <c r="N282" s="30" t="str" cm="1">
        <f t="array" ref="N282">SECTION_NAME(B282)</f>
        <v>coverage-information</v>
      </c>
    </row>
    <row r="283" spans="1:16" ht="85" x14ac:dyDescent="0.2">
      <c r="A283" s="25">
        <v>282</v>
      </c>
      <c r="B283" s="33" t="s">
        <v>340</v>
      </c>
      <c r="C283" s="25" t="s">
        <v>341</v>
      </c>
      <c r="D283" s="25" t="s">
        <v>50</v>
      </c>
      <c r="E283" s="25" t="s">
        <v>38</v>
      </c>
      <c r="M283" s="30" t="str" cm="1">
        <f t="array" ref="M283">PAGE_NAME(B283)</f>
        <v>cards</v>
      </c>
      <c r="N283" s="30" t="str" cm="1">
        <f t="array" ref="N283">SECTION_NAME(B283)</f>
        <v>propose-alternate-request</v>
      </c>
    </row>
    <row r="284" spans="1:16" ht="51" x14ac:dyDescent="0.2">
      <c r="A284" s="25">
        <v>283</v>
      </c>
      <c r="B284" s="33" t="s">
        <v>340</v>
      </c>
      <c r="C284" s="25" t="s">
        <v>342</v>
      </c>
      <c r="D284" s="25" t="s">
        <v>50</v>
      </c>
      <c r="E284" s="25" t="s">
        <v>38</v>
      </c>
      <c r="M284" s="30" t="str" cm="1">
        <f t="array" ref="M284">PAGE_NAME(B284)</f>
        <v>cards</v>
      </c>
      <c r="N284" s="30" t="str" cm="1">
        <f t="array" ref="N284">SECTION_NAME(B284)</f>
        <v>propose-alternate-request</v>
      </c>
    </row>
    <row r="285" spans="1:16" ht="102" x14ac:dyDescent="0.2">
      <c r="A285" s="25">
        <v>284</v>
      </c>
      <c r="B285" s="33" t="s">
        <v>340</v>
      </c>
      <c r="C285" s="25" t="s">
        <v>343</v>
      </c>
      <c r="D285" s="25" t="s">
        <v>33</v>
      </c>
      <c r="E285" s="25" t="s">
        <v>34</v>
      </c>
      <c r="M285" s="30" t="str" cm="1">
        <f t="array" ref="M285">PAGE_NAME(B285)</f>
        <v>cards</v>
      </c>
      <c r="N285" s="30" t="str" cm="1">
        <f t="array" ref="N285">SECTION_NAME(B285)</f>
        <v>propose-alternate-request</v>
      </c>
      <c r="P285" s="27" t="s">
        <v>462</v>
      </c>
    </row>
    <row r="286" spans="1:16" ht="153" x14ac:dyDescent="0.2">
      <c r="A286" s="25">
        <v>285</v>
      </c>
      <c r="B286" s="33" t="s">
        <v>340</v>
      </c>
      <c r="C286" s="25" t="s">
        <v>344</v>
      </c>
      <c r="D286" s="25" t="s">
        <v>33</v>
      </c>
      <c r="E286" s="25" t="s">
        <v>34</v>
      </c>
      <c r="M286" s="30" t="str" cm="1">
        <f t="array" ref="M286">PAGE_NAME(B286)</f>
        <v>cards</v>
      </c>
      <c r="N286" s="30" t="str" cm="1">
        <f t="array" ref="N286">SECTION_NAME(B286)</f>
        <v>propose-alternate-request</v>
      </c>
      <c r="P286" s="27" t="s">
        <v>462</v>
      </c>
    </row>
    <row r="287" spans="1:16" ht="136" x14ac:dyDescent="0.2">
      <c r="A287" s="25">
        <v>286</v>
      </c>
      <c r="B287" s="33" t="s">
        <v>340</v>
      </c>
      <c r="C287" s="25" t="s">
        <v>345</v>
      </c>
      <c r="D287" s="25" t="s">
        <v>33</v>
      </c>
      <c r="E287" s="25" t="s">
        <v>34</v>
      </c>
      <c r="M287" s="30" t="str" cm="1">
        <f t="array" ref="M287">PAGE_NAME(B287)</f>
        <v>cards</v>
      </c>
      <c r="N287" s="30" t="str" cm="1">
        <f t="array" ref="N287">SECTION_NAME(B287)</f>
        <v>propose-alternate-request</v>
      </c>
      <c r="P287" s="27" t="s">
        <v>462</v>
      </c>
    </row>
    <row r="288" spans="1:16" ht="187" x14ac:dyDescent="0.2">
      <c r="A288" s="25">
        <v>287</v>
      </c>
      <c r="B288" s="33" t="s">
        <v>340</v>
      </c>
      <c r="C288" s="25" t="s">
        <v>346</v>
      </c>
      <c r="D288" s="25" t="s">
        <v>33</v>
      </c>
      <c r="E288" s="25" t="s">
        <v>34</v>
      </c>
      <c r="M288" s="30" t="str" cm="1">
        <f t="array" ref="M288">PAGE_NAME(B288)</f>
        <v>cards</v>
      </c>
      <c r="N288" s="30" t="str" cm="1">
        <f t="array" ref="N288">SECTION_NAME(B288)</f>
        <v>propose-alternate-request</v>
      </c>
      <c r="P288" s="27" t="s">
        <v>462</v>
      </c>
    </row>
    <row r="289" spans="1:16" ht="136" x14ac:dyDescent="0.2">
      <c r="A289" s="25">
        <v>288</v>
      </c>
      <c r="B289" s="33" t="s">
        <v>340</v>
      </c>
      <c r="C289" s="25" t="s">
        <v>347</v>
      </c>
      <c r="D289" s="25" t="s">
        <v>33</v>
      </c>
      <c r="E289" s="25" t="s">
        <v>34</v>
      </c>
      <c r="M289" s="30" t="str" cm="1">
        <f t="array" ref="M289">PAGE_NAME(B289)</f>
        <v>cards</v>
      </c>
      <c r="N289" s="30" t="str" cm="1">
        <f t="array" ref="N289">SECTION_NAME(B289)</f>
        <v>propose-alternate-request</v>
      </c>
      <c r="P289" s="27" t="s">
        <v>462</v>
      </c>
    </row>
    <row r="290" spans="1:16" ht="136" x14ac:dyDescent="0.2">
      <c r="A290" s="25">
        <v>289</v>
      </c>
      <c r="B290" s="33" t="s">
        <v>340</v>
      </c>
      <c r="C290" s="25" t="s">
        <v>348</v>
      </c>
      <c r="D290" s="25" t="s">
        <v>33</v>
      </c>
      <c r="E290" s="25" t="s">
        <v>34</v>
      </c>
      <c r="M290" s="30" t="str" cm="1">
        <f t="array" ref="M290">PAGE_NAME(B290)</f>
        <v>cards</v>
      </c>
      <c r="N290" s="30" t="str" cm="1">
        <f t="array" ref="N290">SECTION_NAME(B290)</f>
        <v>propose-alternate-request</v>
      </c>
      <c r="P290" s="27" t="s">
        <v>462</v>
      </c>
    </row>
    <row r="291" spans="1:16" ht="136" x14ac:dyDescent="0.2">
      <c r="A291" s="25">
        <v>290</v>
      </c>
      <c r="B291" s="33" t="s">
        <v>340</v>
      </c>
      <c r="C291" s="25" t="s">
        <v>349</v>
      </c>
      <c r="D291" s="25" t="s">
        <v>33</v>
      </c>
      <c r="E291" s="25" t="s">
        <v>34</v>
      </c>
      <c r="M291" s="30" t="str" cm="1">
        <f t="array" ref="M291">PAGE_NAME(B291)</f>
        <v>cards</v>
      </c>
      <c r="N291" s="30" t="str" cm="1">
        <f t="array" ref="N291">SECTION_NAME(B291)</f>
        <v>propose-alternate-request</v>
      </c>
      <c r="P291" s="27" t="s">
        <v>462</v>
      </c>
    </row>
    <row r="292" spans="1:16" ht="153" x14ac:dyDescent="0.2">
      <c r="A292" s="25">
        <v>291</v>
      </c>
      <c r="B292" s="33" t="s">
        <v>350</v>
      </c>
      <c r="C292" s="25" t="s">
        <v>351</v>
      </c>
      <c r="D292" s="25" t="s">
        <v>33</v>
      </c>
      <c r="E292" s="25" t="s">
        <v>34</v>
      </c>
      <c r="N292" s="30" t="str" cm="1">
        <f t="array" ref="N292">SECTION_NAME(B292)</f>
        <v>identify-additional-orders-as-companionsprerequisites-for-current-order</v>
      </c>
      <c r="P292" s="27" t="s">
        <v>457</v>
      </c>
    </row>
    <row r="293" spans="1:16" ht="153" x14ac:dyDescent="0.2">
      <c r="A293" s="25">
        <v>292</v>
      </c>
      <c r="B293" s="33" t="s">
        <v>350</v>
      </c>
      <c r="C293" s="25" t="s">
        <v>352</v>
      </c>
      <c r="D293" s="25" t="s">
        <v>33</v>
      </c>
      <c r="E293" s="25" t="s">
        <v>34</v>
      </c>
      <c r="N293" s="30" t="str" cm="1">
        <f t="array" ref="N293">SECTION_NAME(B293)</f>
        <v>identify-additional-orders-as-companionsprerequisites-for-current-order</v>
      </c>
      <c r="P293" s="27" t="s">
        <v>457</v>
      </c>
    </row>
    <row r="294" spans="1:16" ht="170" x14ac:dyDescent="0.2">
      <c r="A294" s="25">
        <v>293</v>
      </c>
      <c r="B294" s="33" t="s">
        <v>350</v>
      </c>
      <c r="C294" s="25" t="s">
        <v>353</v>
      </c>
      <c r="D294" s="25" t="s">
        <v>33</v>
      </c>
      <c r="E294" s="25" t="s">
        <v>34</v>
      </c>
      <c r="N294" s="30" t="str" cm="1">
        <f t="array" ref="N294">SECTION_NAME(B294)</f>
        <v>identify-additional-orders-as-companionsprerequisites-for-current-order</v>
      </c>
      <c r="P294" s="27" t="s">
        <v>457</v>
      </c>
    </row>
    <row r="295" spans="1:16" ht="119" x14ac:dyDescent="0.2">
      <c r="A295" s="25">
        <v>294</v>
      </c>
      <c r="B295" s="33" t="s">
        <v>350</v>
      </c>
      <c r="C295" s="25" t="s">
        <v>354</v>
      </c>
      <c r="D295" s="25" t="s">
        <v>33</v>
      </c>
      <c r="E295" s="25" t="s">
        <v>34</v>
      </c>
      <c r="N295" s="30" t="str" cm="1">
        <f t="array" ref="N295">SECTION_NAME(B295)</f>
        <v>identify-additional-orders-as-companionsprerequisites-for-current-order</v>
      </c>
      <c r="P295" s="27" t="s">
        <v>457</v>
      </c>
    </row>
    <row r="296" spans="1:16" ht="136" x14ac:dyDescent="0.2">
      <c r="A296" s="25">
        <v>295</v>
      </c>
      <c r="B296" s="33" t="s">
        <v>350</v>
      </c>
      <c r="C296" s="25" t="s">
        <v>355</v>
      </c>
      <c r="D296" s="25" t="s">
        <v>33</v>
      </c>
      <c r="E296" s="25" t="s">
        <v>34</v>
      </c>
      <c r="N296" s="30" t="str" cm="1">
        <f t="array" ref="N296">SECTION_NAME(B296)</f>
        <v>identify-additional-orders-as-companionsprerequisites-for-current-order</v>
      </c>
      <c r="P296" s="27" t="s">
        <v>457</v>
      </c>
    </row>
    <row r="297" spans="1:16" ht="68" x14ac:dyDescent="0.2">
      <c r="A297" s="25">
        <v>296</v>
      </c>
      <c r="B297" s="33" t="s">
        <v>356</v>
      </c>
      <c r="C297" s="25" t="s">
        <v>357</v>
      </c>
      <c r="D297" s="25" t="s">
        <v>28</v>
      </c>
      <c r="E297" s="25" t="s">
        <v>38</v>
      </c>
    </row>
    <row r="298" spans="1:16" ht="68" x14ac:dyDescent="0.2">
      <c r="A298" s="25">
        <v>297</v>
      </c>
      <c r="B298" s="33" t="s">
        <v>356</v>
      </c>
      <c r="C298" s="25" t="s">
        <v>358</v>
      </c>
      <c r="D298" s="25" t="s">
        <v>33</v>
      </c>
      <c r="E298" s="25" t="s">
        <v>34</v>
      </c>
      <c r="M298" s="30" t="str" cm="1">
        <f t="array" ref="M298">PAGE_NAME(B298)</f>
        <v>cards</v>
      </c>
      <c r="N298" s="30" t="str" cm="1">
        <f t="array" ref="N298">SECTION_NAME(B298)</f>
        <v>request-form-completion</v>
      </c>
      <c r="P298" s="27" t="s">
        <v>464</v>
      </c>
    </row>
    <row r="299" spans="1:16" ht="34" x14ac:dyDescent="0.2">
      <c r="A299" s="25">
        <v>298</v>
      </c>
      <c r="B299" s="33" t="s">
        <v>356</v>
      </c>
      <c r="C299" s="25" t="s">
        <v>359</v>
      </c>
      <c r="D299" s="25" t="s">
        <v>50</v>
      </c>
      <c r="E299" s="25" t="s">
        <v>38</v>
      </c>
      <c r="M299" s="30" t="str" cm="1">
        <f t="array" ref="M299">PAGE_NAME(B299)</f>
        <v>cards</v>
      </c>
      <c r="N299" s="30" t="str" cm="1">
        <f t="array" ref="N299">SECTION_NAME(B299)</f>
        <v>request-form-completion</v>
      </c>
    </row>
    <row r="300" spans="1:16" ht="102" x14ac:dyDescent="0.2">
      <c r="A300" s="25">
        <v>299</v>
      </c>
      <c r="B300" s="33" t="s">
        <v>356</v>
      </c>
      <c r="C300" s="25" t="s">
        <v>360</v>
      </c>
      <c r="D300" s="25" t="s">
        <v>33</v>
      </c>
      <c r="E300" s="25" t="s">
        <v>38</v>
      </c>
      <c r="M300" s="30" t="str" cm="1">
        <f t="array" ref="M300">PAGE_NAME(B300)</f>
        <v>cards</v>
      </c>
      <c r="N300" s="30" t="str" cm="1">
        <f t="array" ref="N300">SECTION_NAME(B300)</f>
        <v>request-form-completion</v>
      </c>
    </row>
    <row r="301" spans="1:16" ht="153" x14ac:dyDescent="0.2">
      <c r="A301" s="25">
        <v>300</v>
      </c>
      <c r="B301" s="33" t="s">
        <v>356</v>
      </c>
      <c r="C301" s="25" t="s">
        <v>361</v>
      </c>
      <c r="D301" s="25" t="s">
        <v>50</v>
      </c>
      <c r="E301" s="25" t="s">
        <v>38</v>
      </c>
      <c r="M301" s="30" t="str" cm="1">
        <f t="array" ref="M301">PAGE_NAME(B301)</f>
        <v>cards</v>
      </c>
      <c r="N301" s="30" t="str" cm="1">
        <f t="array" ref="N301">SECTION_NAME(B301)</f>
        <v>request-form-completion</v>
      </c>
    </row>
    <row r="302" spans="1:16" ht="51" x14ac:dyDescent="0.2">
      <c r="A302" s="25">
        <v>301</v>
      </c>
      <c r="B302" s="33" t="s">
        <v>356</v>
      </c>
      <c r="C302" s="25" t="s">
        <v>362</v>
      </c>
      <c r="D302" s="25" t="s">
        <v>50</v>
      </c>
      <c r="E302" s="25" t="s">
        <v>34</v>
      </c>
      <c r="M302" s="30" t="str" cm="1">
        <f t="array" ref="M302">PAGE_NAME(B302)</f>
        <v>cards</v>
      </c>
      <c r="N302" s="30" t="str" cm="1">
        <f t="array" ref="N302">SECTION_NAME(B302)</f>
        <v>request-form-completion</v>
      </c>
    </row>
    <row r="303" spans="1:16" ht="68" x14ac:dyDescent="0.2">
      <c r="A303" s="25">
        <v>302</v>
      </c>
      <c r="B303" s="33" t="s">
        <v>363</v>
      </c>
      <c r="C303" s="25" t="s">
        <v>364</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363</v>
      </c>
      <c r="C304" s="25" t="s">
        <v>365</v>
      </c>
      <c r="D304" s="25" t="s">
        <v>33</v>
      </c>
      <c r="E304" s="25" t="s">
        <v>34</v>
      </c>
      <c r="M304" s="30" t="str" cm="1">
        <f t="array" ref="M304">PAGE_NAME(B304)</f>
        <v>cards</v>
      </c>
      <c r="N304" s="30" t="str" cm="1">
        <f t="array" ref="N304">SECTION_NAME(B304)</f>
        <v>create-or-update-coverage-information</v>
      </c>
      <c r="P304" s="27" t="s">
        <v>463</v>
      </c>
    </row>
    <row r="305" spans="1:20" ht="68" x14ac:dyDescent="0.2">
      <c r="A305" s="25">
        <v>304</v>
      </c>
      <c r="B305" s="33" t="s">
        <v>363</v>
      </c>
      <c r="C305" s="25" t="s">
        <v>366</v>
      </c>
      <c r="D305" s="25" t="s">
        <v>28</v>
      </c>
      <c r="E305" s="25" t="s">
        <v>34</v>
      </c>
      <c r="M305" s="30" t="str" cm="1">
        <f t="array" ref="M305">PAGE_NAME(B305)</f>
        <v>cards</v>
      </c>
      <c r="N305" s="30" t="str" cm="1">
        <f t="array" ref="N305">SECTION_NAME(B305)</f>
        <v>create-or-update-coverage-information</v>
      </c>
    </row>
    <row r="306" spans="1:20" ht="51" x14ac:dyDescent="0.2">
      <c r="A306" s="25">
        <v>305</v>
      </c>
      <c r="B306" s="33" t="s">
        <v>363</v>
      </c>
      <c r="C306" s="25" t="s">
        <v>367</v>
      </c>
      <c r="D306" s="25" t="s">
        <v>157</v>
      </c>
      <c r="E306" s="25" t="s">
        <v>38</v>
      </c>
      <c r="M306" s="30" t="str" cm="1">
        <f t="array" ref="M306">PAGE_NAME(B306)</f>
        <v>cards</v>
      </c>
      <c r="N306" s="30" t="str" cm="1">
        <f t="array" ref="N306">SECTION_NAME(B306)</f>
        <v>create-or-update-coverage-information</v>
      </c>
    </row>
    <row r="307" spans="1:20" ht="102" x14ac:dyDescent="0.2">
      <c r="A307" s="25">
        <v>306</v>
      </c>
      <c r="B307" s="33" t="s">
        <v>363</v>
      </c>
      <c r="C307" s="25" t="s">
        <v>368</v>
      </c>
      <c r="D307" s="25" t="s">
        <v>33</v>
      </c>
      <c r="E307" s="25" t="s">
        <v>38</v>
      </c>
      <c r="M307" s="30" t="str" cm="1">
        <f t="array" ref="M307">PAGE_NAME(B307)</f>
        <v>cards</v>
      </c>
      <c r="N307" s="30" t="str" cm="1">
        <f t="array" ref="N307">SECTION_NAME(B307)</f>
        <v>create-or-update-coverage-information</v>
      </c>
    </row>
    <row r="308" spans="1:20" ht="68" x14ac:dyDescent="0.2">
      <c r="A308" s="25">
        <v>307</v>
      </c>
      <c r="B308" s="33" t="s">
        <v>369</v>
      </c>
      <c r="C308" s="25" t="s">
        <v>370</v>
      </c>
      <c r="D308" s="25" t="s">
        <v>28</v>
      </c>
      <c r="E308" s="25" t="s">
        <v>34</v>
      </c>
      <c r="M308" s="30" t="str" cm="1">
        <f t="array" ref="M308">PAGE_NAME(B308)</f>
        <v>cards</v>
      </c>
      <c r="N308" s="30" t="str" cm="1">
        <f t="array" ref="N308">SECTION_NAME(B308)</f>
        <v>launch-smart-application</v>
      </c>
    </row>
    <row r="309" spans="1:20" ht="68" x14ac:dyDescent="0.2">
      <c r="A309" s="25">
        <v>308</v>
      </c>
      <c r="B309" s="33" t="s">
        <v>371</v>
      </c>
      <c r="C309" s="25" t="s">
        <v>372</v>
      </c>
      <c r="D309" s="25" t="s">
        <v>33</v>
      </c>
      <c r="E309" s="25" t="s">
        <v>34</v>
      </c>
      <c r="M309" s="30" t="str" cm="1">
        <f t="array" ref="M309">PAGE_NAME(B309)</f>
        <v>implementation</v>
      </c>
      <c r="N309" s="30" t="str" cm="1">
        <f t="array" ref="N309">SECTION_NAME(B309)</f>
        <v>suppressing-guidance</v>
      </c>
      <c r="P309" s="27" t="s">
        <v>450</v>
      </c>
    </row>
    <row r="310" spans="1:20" ht="85" x14ac:dyDescent="0.2">
      <c r="A310" s="25">
        <v>309</v>
      </c>
      <c r="B310" s="33" t="s">
        <v>373</v>
      </c>
      <c r="C310" s="25" t="s">
        <v>374</v>
      </c>
      <c r="D310" s="25" t="s">
        <v>50</v>
      </c>
      <c r="E310" s="25" t="s">
        <v>38</v>
      </c>
      <c r="M310" s="30" t="str" cm="1">
        <f t="array" ref="M310">PAGE_NAME(B310)</f>
        <v>implementation</v>
      </c>
      <c r="N310" s="30" t="str" cm="1">
        <f t="array" ref="N310">SECTION_NAME(B310)</f>
        <v>impact-on-payer-processes</v>
      </c>
    </row>
    <row r="311" spans="1:20" ht="136" x14ac:dyDescent="0.2">
      <c r="A311" s="25">
        <v>310</v>
      </c>
      <c r="B311" s="33" t="s">
        <v>373</v>
      </c>
      <c r="C311" s="25" t="s">
        <v>375</v>
      </c>
      <c r="D311" s="25" t="s">
        <v>50</v>
      </c>
      <c r="E311" s="25" t="s">
        <v>38</v>
      </c>
      <c r="M311" s="30" t="str" cm="1">
        <f t="array" ref="M311">PAGE_NAME(B311)</f>
        <v>implementation</v>
      </c>
      <c r="N311" s="30" t="str" cm="1">
        <f t="array" ref="N311">SECTION_NAME(B311)</f>
        <v>impact-on-payer-processes</v>
      </c>
    </row>
    <row r="312" spans="1:20" ht="68" x14ac:dyDescent="0.2">
      <c r="A312" s="25">
        <v>311</v>
      </c>
      <c r="B312" s="33" t="s">
        <v>373</v>
      </c>
      <c r="C312" s="25" t="s">
        <v>376</v>
      </c>
      <c r="D312" s="25" t="s">
        <v>28</v>
      </c>
      <c r="E312" s="25" t="s">
        <v>34</v>
      </c>
      <c r="M312" s="30" t="str" cm="1">
        <f t="array" ref="M312">PAGE_NAME(B312)</f>
        <v>implementation</v>
      </c>
      <c r="N312" s="30" t="str" cm="1">
        <f t="array" ref="N312">SECTION_NAME(B312)</f>
        <v>impact-on-payer-processes</v>
      </c>
    </row>
    <row r="313" spans="1:20" ht="170" x14ac:dyDescent="0.2">
      <c r="A313" s="25">
        <v>312</v>
      </c>
      <c r="B313" s="33" t="s">
        <v>489</v>
      </c>
      <c r="C313" s="25" t="s">
        <v>490</v>
      </c>
      <c r="D313" s="25" t="s">
        <v>33</v>
      </c>
      <c r="E313" s="25" t="s">
        <v>34</v>
      </c>
      <c r="P313" s="27" t="s">
        <v>440</v>
      </c>
      <c r="T313" s="27" t="s">
        <v>503</v>
      </c>
    </row>
    <row r="314" spans="1:20" ht="51" x14ac:dyDescent="0.2">
      <c r="A314" s="25">
        <v>313</v>
      </c>
      <c r="B314" s="33" t="s">
        <v>492</v>
      </c>
      <c r="C314" s="25" t="s">
        <v>491</v>
      </c>
      <c r="D314" s="25" t="s">
        <v>33</v>
      </c>
      <c r="E314" s="25" t="s">
        <v>34</v>
      </c>
      <c r="M314" s="30" t="str" cm="1">
        <f t="array" ref="M314">PAGE_NAME(B314)</f>
        <v>CapabilityStatement-crd-client</v>
      </c>
      <c r="N314" s="30" t="str" cm="1">
        <f t="array" ref="N314">SECTION_NAME(B314)</f>
        <v>mode1</v>
      </c>
      <c r="P314" s="27" t="s">
        <v>447</v>
      </c>
    </row>
    <row r="315" spans="1:20" ht="34" x14ac:dyDescent="0.2">
      <c r="A315" s="25">
        <v>314</v>
      </c>
      <c r="B315" s="33" t="s">
        <v>489</v>
      </c>
      <c r="C315" s="25" t="s">
        <v>494</v>
      </c>
      <c r="D315" s="25" t="s">
        <v>33</v>
      </c>
      <c r="E315" s="25" t="s">
        <v>34</v>
      </c>
      <c r="M315" s="30" t="str" cm="1">
        <f t="array" ref="M315">PAGE_NAME(B315)</f>
        <v>CapabilityStatement-crd-client</v>
      </c>
      <c r="N315" s="30" t="str" cm="1">
        <f t="array" ref="N315">SECTION_NAME(B315)</f>
        <v/>
      </c>
      <c r="P315" s="27" t="s">
        <v>440</v>
      </c>
    </row>
    <row r="316" spans="1:20" ht="51" x14ac:dyDescent="0.2">
      <c r="A316" s="25">
        <v>315</v>
      </c>
      <c r="B316" s="33" t="s">
        <v>489</v>
      </c>
      <c r="C316" s="25" t="s">
        <v>495</v>
      </c>
      <c r="D316" s="25" t="s">
        <v>33</v>
      </c>
      <c r="E316" s="25" t="s">
        <v>34</v>
      </c>
      <c r="M316" s="30" t="str" cm="1">
        <f t="array" ref="M316">PAGE_NAME(B316)</f>
        <v>CapabilityStatement-crd-client</v>
      </c>
      <c r="N316" s="30" t="str" cm="1">
        <f t="array" ref="N316">SECTION_NAME(B316)</f>
        <v/>
      </c>
      <c r="P316" s="27" t="s">
        <v>440</v>
      </c>
    </row>
    <row r="317" spans="1:20" ht="51" x14ac:dyDescent="0.2">
      <c r="A317" s="25">
        <v>316</v>
      </c>
      <c r="B317" s="33" t="s">
        <v>489</v>
      </c>
      <c r="C317" s="25" t="s">
        <v>496</v>
      </c>
      <c r="D317" s="25" t="s">
        <v>33</v>
      </c>
      <c r="E317" s="25" t="s">
        <v>34</v>
      </c>
      <c r="M317" s="30" t="str" cm="1">
        <f t="array" ref="M317">PAGE_NAME(B317)</f>
        <v>CapabilityStatement-crd-client</v>
      </c>
      <c r="N317" s="30" t="str" cm="1">
        <f t="array" ref="N317">SECTION_NAME(B317)</f>
        <v/>
      </c>
      <c r="P317" s="27" t="s">
        <v>440</v>
      </c>
    </row>
    <row r="318" spans="1:20" ht="68" x14ac:dyDescent="0.2">
      <c r="A318" s="25">
        <v>317</v>
      </c>
      <c r="B318" s="33" t="s">
        <v>489</v>
      </c>
      <c r="C318" s="25" t="s">
        <v>498</v>
      </c>
      <c r="D318" s="25" t="s">
        <v>33</v>
      </c>
      <c r="E318" s="25" t="s">
        <v>34</v>
      </c>
      <c r="M318" s="30" t="str" cm="1">
        <f t="array" ref="M318">PAGE_NAME(B318)</f>
        <v>CapabilityStatement-crd-client</v>
      </c>
      <c r="N318" s="30" t="str" cm="1">
        <f t="array" ref="N318">SECTION_NAME(B318)</f>
        <v/>
      </c>
      <c r="P318" s="27" t="s">
        <v>440</v>
      </c>
    </row>
    <row r="319" spans="1:20" ht="51" x14ac:dyDescent="0.2">
      <c r="A319" s="25">
        <v>318</v>
      </c>
      <c r="B319" s="33" t="s">
        <v>489</v>
      </c>
      <c r="C319" s="25" t="s">
        <v>497</v>
      </c>
      <c r="D319" s="25" t="s">
        <v>33</v>
      </c>
      <c r="E319" s="25" t="s">
        <v>34</v>
      </c>
      <c r="M319" s="30" t="str" cm="1">
        <f t="array" ref="M319">PAGE_NAME(B319)</f>
        <v>CapabilityStatement-crd-client</v>
      </c>
      <c r="N319" s="30" t="str" cm="1">
        <f t="array" ref="N319">SECTION_NAME(B319)</f>
        <v/>
      </c>
      <c r="P319" s="27" t="s">
        <v>440</v>
      </c>
    </row>
    <row r="320" spans="1:20" ht="51" x14ac:dyDescent="0.2">
      <c r="A320" s="25">
        <v>319</v>
      </c>
      <c r="B320" s="33" t="s">
        <v>489</v>
      </c>
      <c r="C320" s="25" t="s">
        <v>499</v>
      </c>
      <c r="D320" s="25" t="s">
        <v>33</v>
      </c>
      <c r="E320" s="25" t="s">
        <v>34</v>
      </c>
      <c r="M320" s="30" t="str" cm="1">
        <f t="array" ref="M320">PAGE_NAME(B320)</f>
        <v>CapabilityStatement-crd-client</v>
      </c>
      <c r="N320" s="30" t="str" cm="1">
        <f t="array" ref="N320">SECTION_NAME(B320)</f>
        <v/>
      </c>
      <c r="P320" s="27" t="s">
        <v>440</v>
      </c>
    </row>
    <row r="321" spans="1:16" ht="51" x14ac:dyDescent="0.2">
      <c r="A321" s="25">
        <v>320</v>
      </c>
      <c r="B321" s="33" t="s">
        <v>489</v>
      </c>
      <c r="C321" s="25" t="s">
        <v>500</v>
      </c>
      <c r="D321" s="25" t="s">
        <v>33</v>
      </c>
      <c r="E321" s="25" t="s">
        <v>34</v>
      </c>
      <c r="M321" s="30" t="str" cm="1">
        <f t="array" ref="M321">PAGE_NAME(B321)</f>
        <v>CapabilityStatement-crd-client</v>
      </c>
      <c r="N321" s="30" t="str" cm="1">
        <f t="array" ref="N321">SECTION_NAME(B321)</f>
        <v/>
      </c>
      <c r="P321" s="27" t="s">
        <v>440</v>
      </c>
    </row>
    <row r="322" spans="1:16" ht="51" x14ac:dyDescent="0.2">
      <c r="A322" s="25">
        <v>321</v>
      </c>
      <c r="B322" s="33" t="s">
        <v>489</v>
      </c>
      <c r="C322" s="25" t="s">
        <v>501</v>
      </c>
      <c r="D322" s="25" t="s">
        <v>33</v>
      </c>
      <c r="E322" s="25" t="s">
        <v>34</v>
      </c>
      <c r="M322" s="30" t="str" cm="1">
        <f t="array" ref="M322">PAGE_NAME(B322)</f>
        <v>CapabilityStatement-crd-client</v>
      </c>
      <c r="N322" s="30" t="str" cm="1">
        <f t="array" ref="N322">SECTION_NAME(B322)</f>
        <v/>
      </c>
      <c r="P322" s="27" t="s">
        <v>440</v>
      </c>
    </row>
    <row r="323" spans="1:16" ht="51" x14ac:dyDescent="0.2">
      <c r="A323" s="25">
        <v>322</v>
      </c>
      <c r="B323" s="33" t="s">
        <v>489</v>
      </c>
      <c r="C323" s="25" t="s">
        <v>502</v>
      </c>
      <c r="D323" s="25" t="s">
        <v>33</v>
      </c>
      <c r="E323" s="25" t="s">
        <v>34</v>
      </c>
      <c r="M323" s="30" t="str" cm="1">
        <f t="array" ref="M323">PAGE_NAME(B323)</f>
        <v>CapabilityStatement-crd-client</v>
      </c>
      <c r="N323" s="30" t="str" cm="1">
        <f t="array" ref="N323">SECTION_NAME(B323)</f>
        <v/>
      </c>
      <c r="P323" s="27" t="s">
        <v>440</v>
      </c>
    </row>
    <row r="324" spans="1:16" ht="17" x14ac:dyDescent="0.2">
      <c r="B324" s="33"/>
      <c r="M324" s="30" t="str" cm="1">
        <f t="array" ref="M324">PAGE_NAME(B324)</f>
        <v/>
      </c>
      <c r="N324" s="30" t="str" cm="1">
        <f t="array" ref="N324">SECTION_NAME(B324)</f>
        <v/>
      </c>
    </row>
    <row r="325" spans="1:16" ht="17" x14ac:dyDescent="0.2">
      <c r="M325" s="30" t="str" cm="1">
        <f t="array" ref="M325">PAGE_NAME(B325)</f>
        <v/>
      </c>
      <c r="N325" s="30" t="str" cm="1">
        <f t="array" ref="N325">SECTION_NAME(B325)</f>
        <v/>
      </c>
    </row>
    <row r="326" spans="1:16" ht="17" x14ac:dyDescent="0.2">
      <c r="M326" s="30" t="str" cm="1">
        <f t="array" ref="M326">PAGE_NAME(B326)</f>
        <v/>
      </c>
      <c r="N326" s="30" t="str" cm="1">
        <f t="array" ref="N326">SECTION_NAME(B326)</f>
        <v/>
      </c>
    </row>
    <row r="327" spans="1:16" ht="17" x14ac:dyDescent="0.2">
      <c r="M327" s="30" t="str" cm="1">
        <f t="array" ref="M327">PAGE_NAME(B327)</f>
        <v/>
      </c>
      <c r="N327" s="30" t="str" cm="1">
        <f t="array" ref="N327">SECTION_NAME(B327)</f>
        <v/>
      </c>
    </row>
    <row r="328" spans="1:16" ht="17" x14ac:dyDescent="0.2">
      <c r="M328" s="30" t="str" cm="1">
        <f t="array" ref="M328">PAGE_NAME(B328)</f>
        <v/>
      </c>
      <c r="N328" s="30" t="str" cm="1">
        <f t="array" ref="N328">SECTION_NAME(B328)</f>
        <v/>
      </c>
    </row>
    <row r="329" spans="1:16" ht="17" x14ac:dyDescent="0.2">
      <c r="M329" s="30" t="str" cm="1">
        <f t="array" ref="M329">PAGE_NAME(B329)</f>
        <v/>
      </c>
      <c r="N329" s="30" t="str" cm="1">
        <f t="array" ref="N329">SECTION_NAME(B329)</f>
        <v/>
      </c>
    </row>
    <row r="330" spans="1:16" ht="17" x14ac:dyDescent="0.2">
      <c r="M330" s="30" t="str" cm="1">
        <f t="array" ref="M330">PAGE_NAME(B330)</f>
        <v/>
      </c>
      <c r="N330" s="30" t="str" cm="1">
        <f t="array" ref="N330">SECTION_NAME(B330)</f>
        <v/>
      </c>
    </row>
    <row r="331" spans="1:16" ht="17" x14ac:dyDescent="0.2">
      <c r="M331" s="30" t="str" cm="1">
        <f t="array" ref="M331">PAGE_NAME(B331)</f>
        <v/>
      </c>
      <c r="N331" s="30" t="str" cm="1">
        <f t="array" ref="N331">SECTION_NAME(B331)</f>
        <v/>
      </c>
    </row>
    <row r="332" spans="1:16" ht="17" x14ac:dyDescent="0.2">
      <c r="M332" s="30" t="str" cm="1">
        <f t="array" ref="M332">PAGE_NAME(B332)</f>
        <v/>
      </c>
      <c r="N332" s="30" t="str" cm="1">
        <f t="array" ref="N332">SECTION_NAME(B332)</f>
        <v/>
      </c>
    </row>
    <row r="333" spans="1:16" ht="17" x14ac:dyDescent="0.2">
      <c r="M333" s="30" t="str" cm="1">
        <f t="array" ref="M333">PAGE_NAME(B333)</f>
        <v/>
      </c>
      <c r="N333" s="30" t="str" cm="1">
        <f t="array" ref="N333">SECTION_NAME(B333)</f>
        <v/>
      </c>
    </row>
    <row r="334" spans="1:16" ht="17" x14ac:dyDescent="0.2">
      <c r="M334" s="30" t="str" cm="1">
        <f t="array" ref="M334">PAGE_NAME(B334)</f>
        <v/>
      </c>
      <c r="N334" s="30" t="str" cm="1">
        <f t="array" ref="N334">SECTION_NAME(B334)</f>
        <v/>
      </c>
    </row>
    <row r="335" spans="1:16" ht="17" x14ac:dyDescent="0.2">
      <c r="M335" s="30" t="str" cm="1">
        <f t="array" ref="M335">PAGE_NAME(B335)</f>
        <v/>
      </c>
      <c r="N335" s="30" t="str" cm="1">
        <f t="array" ref="N335">SECTION_NAME(B335)</f>
        <v/>
      </c>
    </row>
    <row r="336" spans="1:16"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B345" s="33"/>
      <c r="M345" s="30" t="str" cm="1">
        <f t="array" ref="M345">PAGE_NAME(B345)</f>
        <v/>
      </c>
      <c r="N345" s="30" t="str" cm="1">
        <f t="array" ref="N345">SECTION_NAME(B345)</f>
        <v/>
      </c>
    </row>
    <row r="346" spans="2:14" ht="17" x14ac:dyDescent="0.2">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sheetData>
  <autoFilter ref="A1:T433"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 ref="B313" r:id="rId262" xr:uid="{5A7044E4-ECC6-8346-910D-AA03F675DEC7}"/>
    <hyperlink ref="B316" r:id="rId263" xr:uid="{2FA4B1FA-85FD-AD4D-BEA5-6604BC45F12B}"/>
    <hyperlink ref="B314" r:id="rId264" location="mode1" xr:uid="{F4E24FAE-9A70-494A-B2FE-AAD9593C3236}"/>
    <hyperlink ref="B315" r:id="rId265" xr:uid="{0075B5F5-9BDE-E54B-BDA4-E62690EA943E}"/>
    <hyperlink ref="B317" r:id="rId266" xr:uid="{2A4FA271-3D53-DC4C-973D-015A52C5D891}"/>
    <hyperlink ref="B318" r:id="rId267" xr:uid="{97761A23-9D1E-7046-A0AA-9D2D1BBC7816}"/>
    <hyperlink ref="B319" r:id="rId268" xr:uid="{E985FC82-CF70-104C-96FF-8F6FCA25F8C0}"/>
    <hyperlink ref="B320" r:id="rId269" xr:uid="{4970B588-B14E-EC4E-BA9F-F56016F887CD}"/>
    <hyperlink ref="B321" r:id="rId270" xr:uid="{97C55971-E2C3-7244-81CA-BD37FB24BFA3}"/>
    <hyperlink ref="B322" r:id="rId271" xr:uid="{43BF7D95-9CEA-1040-9742-52552CCADCCF}"/>
    <hyperlink ref="B323" r:id="rId272" xr:uid="{18B2CDF4-D33C-B14E-A306-E6D686E42A3C}"/>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G2:G296 G298:G1048576</xm:sqref>
        </x14:dataValidation>
        <x14:dataValidation type="list" allowBlank="1" showInputMessage="1" showErrorMessage="1" xr:uid="{4866B9BF-5615-6646-965F-909D4D65F2A5}">
          <x14:formula1>
            <xm:f>'Column Data'!$A$2:$A$7</xm:f>
          </x14:formula1>
          <xm:sqref>D2:D296 D298:D1048576</xm:sqref>
        </x14:dataValidation>
        <x14:dataValidation type="list" allowBlank="1" showInputMessage="1" showErrorMessage="1" xr:uid="{F4FB27A2-804E-CB49-B85C-BBEE0C688B4F}">
          <x14:formula1>
            <xm:f>'Column Data'!$D$2:$D$4</xm:f>
          </x14:formula1>
          <xm:sqref>K2:K296 I2:I296 I298:I1048576 K298:K1048576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412</v>
      </c>
      <c r="B1" s="48"/>
    </row>
    <row r="2" spans="1:2" ht="82" customHeight="1" x14ac:dyDescent="0.2">
      <c r="A2" s="48"/>
      <c r="B2" s="48"/>
    </row>
    <row r="3" spans="1:2" x14ac:dyDescent="0.2">
      <c r="A3" s="2" t="s">
        <v>377</v>
      </c>
      <c r="B3" s="20" t="s">
        <v>378</v>
      </c>
    </row>
    <row r="4" spans="1:2" x14ac:dyDescent="0.2">
      <c r="A4" s="2" t="s">
        <v>379</v>
      </c>
    </row>
    <row r="5" spans="1:2" x14ac:dyDescent="0.2">
      <c r="A5" s="2" t="s">
        <v>380</v>
      </c>
      <c r="B5" s="3" t="s">
        <v>381</v>
      </c>
    </row>
    <row r="6" spans="1:2" x14ac:dyDescent="0.2">
      <c r="A6" s="2" t="s">
        <v>382</v>
      </c>
      <c r="B6" s="3" t="s">
        <v>383</v>
      </c>
    </row>
    <row r="7" spans="1:2" x14ac:dyDescent="0.2">
      <c r="A7" s="2" t="s">
        <v>384</v>
      </c>
      <c r="B7" s="3" t="s">
        <v>385</v>
      </c>
    </row>
    <row r="8" spans="1:2" x14ac:dyDescent="0.2">
      <c r="A8" s="2" t="s">
        <v>386</v>
      </c>
    </row>
    <row r="9" spans="1:2" x14ac:dyDescent="0.2">
      <c r="A9" s="2" t="s">
        <v>387</v>
      </c>
    </row>
    <row r="10" spans="1:2" x14ac:dyDescent="0.2">
      <c r="A10" s="2" t="s">
        <v>388</v>
      </c>
    </row>
    <row r="11" spans="1:2" x14ac:dyDescent="0.2">
      <c r="A11" s="2" t="s">
        <v>389</v>
      </c>
    </row>
    <row r="12" spans="1:2" x14ac:dyDescent="0.2">
      <c r="A12" s="2" t="s">
        <v>390</v>
      </c>
    </row>
    <row r="13" spans="1:2" x14ac:dyDescent="0.2">
      <c r="A13" s="2" t="s">
        <v>391</v>
      </c>
      <c r="B13" s="21" t="s">
        <v>392</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380</v>
      </c>
      <c r="B1" s="2" t="s">
        <v>393</v>
      </c>
      <c r="C1" s="2" t="s">
        <v>394</v>
      </c>
      <c r="D1" s="2" t="s">
        <v>395</v>
      </c>
      <c r="E1" s="2" t="s">
        <v>396</v>
      </c>
    </row>
    <row r="2" spans="1:5" x14ac:dyDescent="0.2">
      <c r="A2">
        <v>0.1</v>
      </c>
      <c r="B2" t="s">
        <v>397</v>
      </c>
      <c r="C2" s="22" t="s">
        <v>398</v>
      </c>
      <c r="D2" t="s">
        <v>399</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400</v>
      </c>
      <c r="B1" t="s">
        <v>12</v>
      </c>
      <c r="C1" t="s">
        <v>401</v>
      </c>
      <c r="D1" t="s">
        <v>14</v>
      </c>
    </row>
    <row r="2" spans="1:4" x14ac:dyDescent="0.2">
      <c r="A2" t="s">
        <v>33</v>
      </c>
      <c r="B2" t="b">
        <v>1</v>
      </c>
      <c r="C2" t="s">
        <v>402</v>
      </c>
      <c r="D2" t="s">
        <v>403</v>
      </c>
    </row>
    <row r="3" spans="1:4" x14ac:dyDescent="0.2">
      <c r="A3" t="s">
        <v>50</v>
      </c>
      <c r="B3" t="b">
        <v>0</v>
      </c>
      <c r="C3" t="s">
        <v>404</v>
      </c>
      <c r="D3" t="s">
        <v>405</v>
      </c>
    </row>
    <row r="4" spans="1:4" x14ac:dyDescent="0.2">
      <c r="A4" t="s">
        <v>28</v>
      </c>
      <c r="C4" t="s">
        <v>406</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customXml/itemProps2.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2025-12-18T21:11:27Z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